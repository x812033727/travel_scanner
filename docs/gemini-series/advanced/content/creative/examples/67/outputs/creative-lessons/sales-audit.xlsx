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c97fdf216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d932c69bc80a4a10"/>
    <x:sheet xmlns:r="http://schemas.openxmlformats.org/officeDocument/2006/relationships" name="Report" sheetId="2" r:id="Rd151bb2e42e14dea"/>
    <x:sheet xmlns:r="http://schemas.openxmlformats.org/officeDocument/2006/relationships" name="Clean" sheetId="3" r:id="R9d2bbdcb5aba4054"/>
    <x:sheet xmlns:r="http://schemas.openxmlformats.org/officeDocument/2006/relationships" name="Excluded" sheetId="4" r:id="R913d6cf3b11d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5">
    <x:font>
      <x:sz val="11"/>
      <x:name val="Carlito"/>
    </x:font>
    <x:font>
      <x:sz val="11"/>
      <x:color rgb="FF243449"/>
      <x:name val="Arial"/>
    </x:font>
    <x:font>
      <x:b/>
      <x:sz val="11"/>
      <x:color rgb="FFFFFFFF"/>
      <x:name val="Arial"/>
    </x:font>
    <x:font>
      <x:sz val="11"/>
      <x:color rgb="FF475F7D"/>
      <x:name val="Arial"/>
    </x:font>
    <x:font>
      <x:b/>
      <x:sz val="17"/>
      <x:color rgb="FF2434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65477"/>
      </x:patternFill>
    </x:fill>
    <x:fill>
      <x:patternFill patternType="solid">
        <x:fgColor rgb="FFFFF5D9"/>
      </x:patternFill>
    </x:fill>
    <x:fill>
      <x:patternFill patternType="solid">
        <x:fgColor rgb="FFEDF3F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1" fontId="1" fillId="3" borderId="1" xfId="0" applyNumberFormat="1" applyFont="1" applyFill="1" applyBorder="1"/>
    <x:xf numFmtId="202" fontId="1" fillId="3" borderId="1" xfId="0" applyNumberFormat="1" applyFont="1" applyFill="1" applyBorder="1"/>
    <x:xf numFmtId="202" fontId="1" fillId="4" borderId="0" xfId="0" applyNumberFormat="1" applyFont="1" applyFill="1" applyBorder="1"/>
    <x:xf numFmtId="202" fontId="1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FDE4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33f3ae3a341ca" /><Relationship Type="http://schemas.openxmlformats.org/officeDocument/2006/relationships/theme" Target="/xl/theme/theme1.xml" Id="R67cd6dba853942cd" /><Relationship Type="http://schemas.openxmlformats.org/officeDocument/2006/relationships/sharedStrings" Target="/xl/sharedStrings.xml" Id="R8fedb3ffbbb44fa3" /><Relationship Type="http://schemas.openxmlformats.org/officeDocument/2006/relationships/worksheet" Target="/xl/worksheets/sheet1.xml" Id="Rd932c69bc80a4a10" /><Relationship Type="http://schemas.openxmlformats.org/officeDocument/2006/relationships/worksheet" Target="/xl/worksheets/sheet2.xml" Id="Rd151bb2e42e14dea" /><Relationship Type="http://schemas.openxmlformats.org/officeDocument/2006/relationships/worksheet" Target="/xl/worksheets/sheet3.xml" Id="R9d2bbdcb5aba4054" /><Relationship Type="http://schemas.openxmlformats.org/officeDocument/2006/relationships/worksheet" Target="/xl/worksheets/sheet4.xml" Id="R913d6cf3b11d48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41dd89565444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採用金額（TWD）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金額</c:v>
          </c:tx>
          <c:cat>
            <c:strRef>
              <c:f>'Report'!$B$5:$B$6</c:f>
              <c:strCache>
                <c:ptCount val="0"/>
              </c:strCache>
            </c:strRef>
          </c:cat>
          <c:val>
            <c:numRef>
              <c:f>'Report'!$E$5:$E$6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1dd89565444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ales" displayName="RawSales" ref="A1:I51" headerRowCount="1" totalsRowCount="0" totalsRowShown="0">
  <x:tableColumns count="9">
    <x:tableColumn id="1" name="source_id"/>
    <x:tableColumn id="2" name="order_id"/>
    <x:tableColumn id="3" name="date"/>
    <x:tableColumn id="4" name="product"/>
    <x:tableColumn id="5" name="currency"/>
    <x:tableColumn id="6" name="quantity"/>
    <x:tableColumn id="7" name="unit_price"/>
    <x:tableColumn id="8" name="kind"/>
    <x:tableColumn id="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ales" displayName="CleanSales" ref="A1:K44" headerRowCount="1" totalsRowCount="0" totalsRowShown="0">
  <x:tableColumns count="11">
    <x:tableColumn id="1" name="來源 ID"/>
    <x:tableColumn id="2" name="CSV 列號"/>
    <x:tableColumn id="3" name="日期"/>
    <x:tableColumn id="4" name="單號"/>
    <x:tableColumn id="5" name="商品"/>
    <x:tableColumn id="6" name="幣別"/>
    <x:tableColumn id="7" name="數量"/>
    <x:tableColumn id="8" name="單價"/>
    <x:tableColumn id="9" name="交易類型"/>
    <x:tableColumn id="10" name="金額"/>
    <x:tableColumn id="11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d48a11dcd748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2d8f95b76d6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2e28cf63b94f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13.75" hidden="0" customWidth="1"/>
    <x:col min="3" max="3" width="16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48.75" hidden="0" customWidth="1"/>
  </x:cols>
  <x:sheetData>
    <x:row r="1" ht="25.5" customHeight="1">
      <x:c r="A1" s="6" t="str">
        <x:v>source_id</x:v>
      </x:c>
      <x:c r="B1" s="6" t="str">
        <x:v>order_id</x:v>
      </x:c>
      <x:c r="C1" s="6" t="str">
        <x:v>date</x:v>
      </x:c>
      <x:c r="D1" s="6" t="str">
        <x:v>product</x:v>
      </x:c>
      <x:c r="E1" s="6" t="str">
        <x:v>currency</x:v>
      </x:c>
      <x:c r="F1" s="6" t="str">
        <x:v>quantity</x:v>
      </x:c>
      <x:c r="G1" s="6" t="str">
        <x:v>unit_price</x:v>
      </x:c>
      <x:c r="H1" s="6" t="str">
        <x:v>kind</x:v>
      </x:c>
      <x:c r="I1" s="6" t="str">
        <x:v>note</x:v>
      </x:c>
    </x:row>
    <x:row r="2" ht="20.25" customHeight="1">
      <x:c r="A2" s="2" t="str">
        <x:v>S001</x:v>
      </x:c>
      <x:c r="B2" s="2" t="str">
        <x:v>T001</x:v>
      </x:c>
      <x:c r="C2" s="2" t="str">
        <x:v>2026-09-01</x:v>
      </x:c>
      <x:c r="D2" s="2" t="str">
        <x:v>cup</x:v>
      </x:c>
      <x:c r="E2" s="2" t="str">
        <x:v>TWD</x:v>
      </x:c>
      <x:c r="F2" s="2" t="str">
        <x:v>1</x:v>
      </x:c>
      <x:c r="G2" s="2" t="str">
        <x:v>300</x:v>
      </x:c>
      <x:c r="H2" s="2" t="str">
        <x:v>sale</x:v>
      </x:c>
      <x:c r="I2" s="2" t="str">
        <x:v>合成交易</x:v>
      </x:c>
    </x:row>
    <x:row r="3" ht="20.25" customHeight="1">
      <x:c r="A3" s="2" t="str">
        <x:v>S002</x:v>
      </x:c>
      <x:c r="B3" s="2" t="str">
        <x:v>T002</x:v>
      </x:c>
      <x:c r="C3" s="2" t="str">
        <x:v>2026-09-02</x:v>
      </x:c>
      <x:c r="D3" s="2" t="str">
        <x:v>notebook</x:v>
      </x:c>
      <x:c r="E3" s="2" t="str">
        <x:v>TWD</x:v>
      </x:c>
      <x:c r="F3" s="2" t="str">
        <x:v>2</x:v>
      </x:c>
      <x:c r="G3" s="2" t="str">
        <x:v>80</x:v>
      </x:c>
      <x:c r="H3" s="2" t="str">
        <x:v>sale</x:v>
      </x:c>
      <x:c r="I3" s="2" t="str">
        <x:v>合成交易</x:v>
      </x:c>
    </x:row>
    <x:row r="4" ht="20.25" customHeight="1">
      <x:c r="A4" s="2" t="str">
        <x:v>S003</x:v>
      </x:c>
      <x:c r="B4" s="2" t="str">
        <x:v>T003</x:v>
      </x:c>
      <x:c r="C4" s="2" t="str">
        <x:v>2026-09-03</x:v>
      </x:c>
      <x:c r="D4" s="2" t="str">
        <x:v>cup</x:v>
      </x:c>
      <x:c r="E4" s="2" t="str">
        <x:v>TWD</x:v>
      </x:c>
      <x:c r="F4" s="2" t="str">
        <x:v>3</x:v>
      </x:c>
      <x:c r="G4" s="2" t="str">
        <x:v>300</x:v>
      </x:c>
      <x:c r="H4" s="2" t="str">
        <x:v>sale</x:v>
      </x:c>
      <x:c r="I4" s="2" t="str">
        <x:v>合成交易</x:v>
      </x:c>
    </x:row>
    <x:row r="5" ht="20.25" customHeight="1">
      <x:c r="A5" s="2" t="str">
        <x:v>S004</x:v>
      </x:c>
      <x:c r="B5" s="2" t="str">
        <x:v>T004</x:v>
      </x:c>
      <x:c r="C5" s="2" t="str">
        <x:v>2026-09-04</x:v>
      </x:c>
      <x:c r="D5" s="2" t="str">
        <x:v>notebook</x:v>
      </x:c>
      <x:c r="E5" s="2" t="str">
        <x:v>TWD</x:v>
      </x:c>
      <x:c r="F5" s="2" t="str">
        <x:v>1</x:v>
      </x:c>
      <x:c r="G5" s="2" t="str">
        <x:v>80</x:v>
      </x:c>
      <x:c r="H5" s="2" t="str">
        <x:v>sale</x:v>
      </x:c>
      <x:c r="I5" s="2" t="str">
        <x:v>合成交易</x:v>
      </x:c>
    </x:row>
    <x:row r="6" ht="20.25" customHeight="1">
      <x:c r="A6" s="2" t="str">
        <x:v>S005</x:v>
      </x:c>
      <x:c r="B6" s="2" t="str">
        <x:v>T005</x:v>
      </x:c>
      <x:c r="C6" s="2" t="str">
        <x:v>2026-09-05</x:v>
      </x:c>
      <x:c r="D6" s="2" t="str">
        <x:v>cup</x:v>
      </x:c>
      <x:c r="E6" s="2" t="str">
        <x:v>TWD</x:v>
      </x:c>
      <x:c r="F6" s="2" t="str">
        <x:v>2</x:v>
      </x:c>
      <x:c r="G6" s="2" t="str">
        <x:v>300</x:v>
      </x:c>
      <x:c r="H6" s="2" t="str">
        <x:v>sale</x:v>
      </x:c>
      <x:c r="I6" s="2" t="str">
        <x:v>合成交易</x:v>
      </x:c>
    </x:row>
    <x:row r="7" ht="20.25" customHeight="1">
      <x:c r="A7" s="2" t="str">
        <x:v>S006</x:v>
      </x:c>
      <x:c r="B7" s="2" t="str">
        <x:v>T006</x:v>
      </x:c>
      <x:c r="C7" s="2" t="str">
        <x:v>2026-09-06</x:v>
      </x:c>
      <x:c r="D7" s="2" t="str">
        <x:v>notebook</x:v>
      </x:c>
      <x:c r="E7" s="2" t="str">
        <x:v>TWD</x:v>
      </x:c>
      <x:c r="F7" s="2" t="str">
        <x:v>3</x:v>
      </x:c>
      <x:c r="G7" s="2" t="str">
        <x:v>80</x:v>
      </x:c>
      <x:c r="H7" s="2" t="str">
        <x:v>sale</x:v>
      </x:c>
      <x:c r="I7" s="2" t="str">
        <x:v>合成交易</x:v>
      </x:c>
    </x:row>
    <x:row r="8" ht="20.25" customHeight="1">
      <x:c r="A8" s="2" t="str">
        <x:v>S007</x:v>
      </x:c>
      <x:c r="B8" s="2" t="str">
        <x:v>T007</x:v>
      </x:c>
      <x:c r="C8" s="2" t="str">
        <x:v>2026-09-07</x:v>
      </x:c>
      <x:c r="D8" s="2" t="str">
        <x:v>cup</x:v>
      </x:c>
      <x:c r="E8" s="2" t="str">
        <x:v>TWD</x:v>
      </x:c>
      <x:c r="F8" s="2" t="str">
        <x:v>1</x:v>
      </x:c>
      <x:c r="G8" s="2" t="str">
        <x:v>300</x:v>
      </x:c>
      <x:c r="H8" s="2" t="str">
        <x:v>sale</x:v>
      </x:c>
      <x:c r="I8" s="2" t="str">
        <x:v>合成交易</x:v>
      </x:c>
    </x:row>
    <x:row r="9" ht="20.25" customHeight="1">
      <x:c r="A9" s="2" t="str">
        <x:v>S008</x:v>
      </x:c>
      <x:c r="B9" s="2" t="str">
        <x:v>T008</x:v>
      </x:c>
      <x:c r="C9" s="2" t="str">
        <x:v>2026-09-08</x:v>
      </x:c>
      <x:c r="D9" s="2" t="str">
        <x:v>notebook</x:v>
      </x:c>
      <x:c r="E9" s="2" t="str">
        <x:v>TWD</x:v>
      </x:c>
      <x:c r="F9" s="2" t="str">
        <x:v>2</x:v>
      </x:c>
      <x:c r="G9" s="2" t="str">
        <x:v>80</x:v>
      </x:c>
      <x:c r="H9" s="2" t="str">
        <x:v>sale</x:v>
      </x:c>
      <x:c r="I9" s="2" t="str">
        <x:v>合成交易</x:v>
      </x:c>
    </x:row>
    <x:row r="10" ht="20.25" customHeight="1">
      <x:c r="A10" s="2" t="str">
        <x:v>S009</x:v>
      </x:c>
      <x:c r="B10" s="2" t="str">
        <x:v>T009</x:v>
      </x:c>
      <x:c r="C10" s="2" t="str">
        <x:v>2026-09-09</x:v>
      </x:c>
      <x:c r="D10" s="2" t="str">
        <x:v>cup</x:v>
      </x:c>
      <x:c r="E10" s="2" t="str">
        <x:v>TWD</x:v>
      </x:c>
      <x:c r="F10" s="2" t="str">
        <x:v>3</x:v>
      </x:c>
      <x:c r="G10" s="2" t="str">
        <x:v>300</x:v>
      </x:c>
      <x:c r="H10" s="2" t="str">
        <x:v>sale</x:v>
      </x:c>
      <x:c r="I10" s="2" t="str">
        <x:v>合成交易</x:v>
      </x:c>
    </x:row>
    <x:row r="11" ht="20.25" customHeight="1">
      <x:c r="A11" s="2" t="str">
        <x:v>S010</x:v>
      </x:c>
      <x:c r="B11" s="2" t="str">
        <x:v>T010</x:v>
      </x:c>
      <x:c r="C11" s="2" t="str">
        <x:v>2026-09-10</x:v>
      </x:c>
      <x:c r="D11" s="2" t="str">
        <x:v>notebook</x:v>
      </x:c>
      <x:c r="E11" s="2" t="str">
        <x:v>TWD</x:v>
      </x:c>
      <x:c r="F11" s="2" t="str">
        <x:v>1</x:v>
      </x:c>
      <x:c r="G11" s="2" t="str">
        <x:v>80</x:v>
      </x:c>
      <x:c r="H11" s="2" t="str">
        <x:v>sale</x:v>
      </x:c>
      <x:c r="I11" s="2" t="str">
        <x:v>合成交易</x:v>
      </x:c>
    </x:row>
    <x:row r="12" ht="20.25" customHeight="1">
      <x:c r="A12" s="2" t="str">
        <x:v>S011</x:v>
      </x:c>
      <x:c r="B12" s="2" t="str">
        <x:v>T011</x:v>
      </x:c>
      <x:c r="C12" s="2" t="str">
        <x:v>2026-09-11</x:v>
      </x:c>
      <x:c r="D12" s="2" t="str">
        <x:v>cup</x:v>
      </x:c>
      <x:c r="E12" s="2" t="str">
        <x:v>TWD</x:v>
      </x:c>
      <x:c r="F12" s="2" t="str">
        <x:v>2</x:v>
      </x:c>
      <x:c r="G12" s="2" t="str">
        <x:v>300</x:v>
      </x:c>
      <x:c r="H12" s="2" t="str">
        <x:v>sale</x:v>
      </x:c>
      <x:c r="I12" s="2" t="str">
        <x:v>合成交易</x:v>
      </x:c>
    </x:row>
    <x:row r="13" ht="20.25" customHeight="1">
      <x:c r="A13" s="2" t="str">
        <x:v>S012</x:v>
      </x:c>
      <x:c r="B13" s="2" t="str">
        <x:v>T012</x:v>
      </x:c>
      <x:c r="C13" s="2" t="str">
        <x:v>2026-09-12</x:v>
      </x:c>
      <x:c r="D13" s="2" t="str">
        <x:v>notebook</x:v>
      </x:c>
      <x:c r="E13" s="2" t="str">
        <x:v>TWD</x:v>
      </x:c>
      <x:c r="F13" s="2" t="str">
        <x:v>3</x:v>
      </x:c>
      <x:c r="G13" s="2" t="str">
        <x:v>80</x:v>
      </x:c>
      <x:c r="H13" s="2" t="str">
        <x:v>sale</x:v>
      </x:c>
      <x:c r="I13" s="2" t="str">
        <x:v>合成交易</x:v>
      </x:c>
    </x:row>
    <x:row r="14" ht="20.25" customHeight="1">
      <x:c r="A14" s="2" t="str">
        <x:v>S013</x:v>
      </x:c>
      <x:c r="B14" s="2" t="str">
        <x:v>T013</x:v>
      </x:c>
      <x:c r="C14" s="2" t="str">
        <x:v>2026-09-13</x:v>
      </x:c>
      <x:c r="D14" s="2" t="str">
        <x:v>cup</x:v>
      </x:c>
      <x:c r="E14" s="2" t="str">
        <x:v>TWD</x:v>
      </x:c>
      <x:c r="F14" s="2" t="str">
        <x:v>1</x:v>
      </x:c>
      <x:c r="G14" s="2" t="str">
        <x:v>300</x:v>
      </x:c>
      <x:c r="H14" s="2" t="str">
        <x:v>sale</x:v>
      </x:c>
      <x:c r="I14" s="2" t="str">
        <x:v>合成交易</x:v>
      </x:c>
    </x:row>
    <x:row r="15" ht="20.25" customHeight="1">
      <x:c r="A15" s="2" t="str">
        <x:v>S014</x:v>
      </x:c>
      <x:c r="B15" s="2" t="str">
        <x:v>T014</x:v>
      </x:c>
      <x:c r="C15" s="2" t="str">
        <x:v>2026-09-14</x:v>
      </x:c>
      <x:c r="D15" s="2" t="str">
        <x:v>notebook</x:v>
      </x:c>
      <x:c r="E15" s="2" t="str">
        <x:v>TWD</x:v>
      </x:c>
      <x:c r="F15" s="2" t="str">
        <x:v>2</x:v>
      </x:c>
      <x:c r="G15" s="2" t="str">
        <x:v>80</x:v>
      </x:c>
      <x:c r="H15" s="2" t="str">
        <x:v>sale</x:v>
      </x:c>
      <x:c r="I15" s="2" t="str">
        <x:v>合成交易</x:v>
      </x:c>
    </x:row>
    <x:row r="16" ht="20.25" customHeight="1">
      <x:c r="A16" s="2" t="str">
        <x:v>S015</x:v>
      </x:c>
      <x:c r="B16" s="2" t="str">
        <x:v>T015</x:v>
      </x:c>
      <x:c r="C16" s="2" t="str">
        <x:v>2026-09-01</x:v>
      </x:c>
      <x:c r="D16" s="2" t="str">
        <x:v>cup</x:v>
      </x:c>
      <x:c r="E16" s="2" t="str">
        <x:v>TWD</x:v>
      </x:c>
      <x:c r="F16" s="2" t="str">
        <x:v>3</x:v>
      </x:c>
      <x:c r="G16" s="2" t="str">
        <x:v>300</x:v>
      </x:c>
      <x:c r="H16" s="2" t="str">
        <x:v>sale</x:v>
      </x:c>
      <x:c r="I16" s="2" t="str">
        <x:v>合成交易</x:v>
      </x:c>
    </x:row>
    <x:row r="17" ht="20.25" customHeight="1">
      <x:c r="A17" s="2" t="str">
        <x:v>S016</x:v>
      </x:c>
      <x:c r="B17" s="2" t="str">
        <x:v>T016</x:v>
      </x:c>
      <x:c r="C17" s="2" t="str">
        <x:v>2026-09-02</x:v>
      </x:c>
      <x:c r="D17" s="2" t="str">
        <x:v>notebook</x:v>
      </x:c>
      <x:c r="E17" s="2" t="str">
        <x:v>TWD</x:v>
      </x:c>
      <x:c r="F17" s="2" t="str">
        <x:v>1</x:v>
      </x:c>
      <x:c r="G17" s="2" t="str">
        <x:v>80</x:v>
      </x:c>
      <x:c r="H17" s="2" t="str">
        <x:v>sale</x:v>
      </x:c>
      <x:c r="I17" s="2" t="str">
        <x:v>合成交易</x:v>
      </x:c>
    </x:row>
    <x:row r="18" ht="20.25" customHeight="1">
      <x:c r="A18" s="2" t="str">
        <x:v>S017</x:v>
      </x:c>
      <x:c r="B18" s="2" t="str">
        <x:v>T017</x:v>
      </x:c>
      <x:c r="C18" s="2" t="str">
        <x:v>2026-09-03</x:v>
      </x:c>
      <x:c r="D18" s="2" t="str">
        <x:v>cup</x:v>
      </x:c>
      <x:c r="E18" s="2" t="str">
        <x:v>TWD</x:v>
      </x:c>
      <x:c r="F18" s="2" t="str">
        <x:v>2</x:v>
      </x:c>
      <x:c r="G18" s="2" t="str">
        <x:v>300</x:v>
      </x:c>
      <x:c r="H18" s="2" t="str">
        <x:v>sale</x:v>
      </x:c>
      <x:c r="I18" s="2" t="str">
        <x:v>合成交易</x:v>
      </x:c>
    </x:row>
    <x:row r="19" ht="20.25" customHeight="1">
      <x:c r="A19" s="2" t="str">
        <x:v>S018</x:v>
      </x:c>
      <x:c r="B19" s="2" t="str">
        <x:v>T018</x:v>
      </x:c>
      <x:c r="C19" s="2" t="str">
        <x:v>2026-09-04</x:v>
      </x:c>
      <x:c r="D19" s="2" t="str">
        <x:v>notebook</x:v>
      </x:c>
      <x:c r="E19" s="2" t="str">
        <x:v>TWD</x:v>
      </x:c>
      <x:c r="F19" s="2" t="str">
        <x:v>3</x:v>
      </x:c>
      <x:c r="G19" s="2" t="str">
        <x:v>80</x:v>
      </x:c>
      <x:c r="H19" s="2" t="str">
        <x:v>sale</x:v>
      </x:c>
      <x:c r="I19" s="2" t="str">
        <x:v>合成交易</x:v>
      </x:c>
    </x:row>
    <x:row r="20" ht="20.25" customHeight="1">
      <x:c r="A20" s="2" t="str">
        <x:v>S019</x:v>
      </x:c>
      <x:c r="B20" s="2" t="str">
        <x:v>T019</x:v>
      </x:c>
      <x:c r="C20" s="2" t="str">
        <x:v>2026-09-05</x:v>
      </x:c>
      <x:c r="D20" s="2" t="str">
        <x:v>cup</x:v>
      </x:c>
      <x:c r="E20" s="2" t="str">
        <x:v>TWD</x:v>
      </x:c>
      <x:c r="F20" s="2" t="str">
        <x:v>1</x:v>
      </x:c>
      <x:c r="G20" s="2" t="str">
        <x:v>300</x:v>
      </x:c>
      <x:c r="H20" s="2" t="str">
        <x:v>sale</x:v>
      </x:c>
      <x:c r="I20" s="2" t="str">
        <x:v>合成交易</x:v>
      </x:c>
    </x:row>
    <x:row r="21" ht="20.25" customHeight="1">
      <x:c r="A21" s="2" t="str">
        <x:v>S020</x:v>
      </x:c>
      <x:c r="B21" s="2" t="str">
        <x:v>T020</x:v>
      </x:c>
      <x:c r="C21" s="2" t="str">
        <x:v>2026-09-06</x:v>
      </x:c>
      <x:c r="D21" s="2" t="str">
        <x:v>notebook</x:v>
      </x:c>
      <x:c r="E21" s="2" t="str">
        <x:v>TWD</x:v>
      </x:c>
      <x:c r="F21" s="2" t="str">
        <x:v>2</x:v>
      </x:c>
      <x:c r="G21" s="2" t="str">
        <x:v>80</x:v>
      </x:c>
      <x:c r="H21" s="2" t="str">
        <x:v>sale</x:v>
      </x:c>
      <x:c r="I21" s="2" t="str">
        <x:v>合成交易</x:v>
      </x:c>
    </x:row>
    <x:row r="22" ht="20.25" customHeight="1">
      <x:c r="A22" s="2" t="str">
        <x:v>S021</x:v>
      </x:c>
      <x:c r="B22" s="2" t="str">
        <x:v>T021</x:v>
      </x:c>
      <x:c r="C22" s="2" t="str">
        <x:v>2026-09-07</x:v>
      </x:c>
      <x:c r="D22" s="2" t="str">
        <x:v>cup</x:v>
      </x:c>
      <x:c r="E22" s="2" t="str">
        <x:v>TWD</x:v>
      </x:c>
      <x:c r="F22" s="2" t="str">
        <x:v>3</x:v>
      </x:c>
      <x:c r="G22" s="2" t="str">
        <x:v>300</x:v>
      </x:c>
      <x:c r="H22" s="2" t="str">
        <x:v>sale</x:v>
      </x:c>
      <x:c r="I22" s="2" t="str">
        <x:v>合成交易</x:v>
      </x:c>
    </x:row>
    <x:row r="23" ht="20.25" customHeight="1">
      <x:c r="A23" s="2" t="str">
        <x:v>S022</x:v>
      </x:c>
      <x:c r="B23" s="2" t="str">
        <x:v>T022</x:v>
      </x:c>
      <x:c r="C23" s="2" t="str">
        <x:v>2026-09-08</x:v>
      </x:c>
      <x:c r="D23" s="2" t="str">
        <x:v>notebook</x:v>
      </x:c>
      <x:c r="E23" s="2" t="str">
        <x:v>TWD</x:v>
      </x:c>
      <x:c r="F23" s="2" t="str">
        <x:v>1</x:v>
      </x:c>
      <x:c r="G23" s="2" t="str">
        <x:v>80</x:v>
      </x:c>
      <x:c r="H23" s="2" t="str">
        <x:v>sale</x:v>
      </x:c>
      <x:c r="I23" s="2" t="str">
        <x:v>合成交易</x:v>
      </x:c>
    </x:row>
    <x:row r="24" ht="20.25" customHeight="1">
      <x:c r="A24" s="2" t="str">
        <x:v>S023</x:v>
      </x:c>
      <x:c r="B24" s="2" t="str">
        <x:v>T023</x:v>
      </x:c>
      <x:c r="C24" s="2" t="str">
        <x:v>2026-09-09</x:v>
      </x:c>
      <x:c r="D24" s="2" t="str">
        <x:v>cup</x:v>
      </x:c>
      <x:c r="E24" s="2" t="str">
        <x:v>TWD</x:v>
      </x:c>
      <x:c r="F24" s="2" t="str">
        <x:v>2</x:v>
      </x:c>
      <x:c r="G24" s="2" t="str">
        <x:v>300</x:v>
      </x:c>
      <x:c r="H24" s="2" t="str">
        <x:v>sale</x:v>
      </x:c>
      <x:c r="I24" s="2" t="str">
        <x:v>合成交易</x:v>
      </x:c>
    </x:row>
    <x:row r="25" ht="20.25" customHeight="1">
      <x:c r="A25" s="2" t="str">
        <x:v>S024</x:v>
      </x:c>
      <x:c r="B25" s="2" t="str">
        <x:v>T024</x:v>
      </x:c>
      <x:c r="C25" s="2" t="str">
        <x:v>2026-09-10</x:v>
      </x:c>
      <x:c r="D25" s="2" t="str">
        <x:v>notebook</x:v>
      </x:c>
      <x:c r="E25" s="2" t="str">
        <x:v>TWD</x:v>
      </x:c>
      <x:c r="F25" s="2" t="str">
        <x:v>3</x:v>
      </x:c>
      <x:c r="G25" s="2" t="str">
        <x:v>80</x:v>
      </x:c>
      <x:c r="H25" s="2" t="str">
        <x:v>sale</x:v>
      </x:c>
      <x:c r="I25" s="2" t="str">
        <x:v>合成交易</x:v>
      </x:c>
    </x:row>
    <x:row r="26" ht="20.25" customHeight="1">
      <x:c r="A26" s="2" t="str">
        <x:v>S025</x:v>
      </x:c>
      <x:c r="B26" s="2" t="str">
        <x:v>T025</x:v>
      </x:c>
      <x:c r="C26" s="2" t="str">
        <x:v>2026-09-11</x:v>
      </x:c>
      <x:c r="D26" s="2" t="str">
        <x:v>cup</x:v>
      </x:c>
      <x:c r="E26" s="2" t="str">
        <x:v>TWD</x:v>
      </x:c>
      <x:c r="F26" s="2" t="str">
        <x:v>1</x:v>
      </x:c>
      <x:c r="G26" s="2" t="str">
        <x:v>300</x:v>
      </x:c>
      <x:c r="H26" s="2" t="str">
        <x:v>sale</x:v>
      </x:c>
      <x:c r="I26" s="2" t="str">
        <x:v>合成交易</x:v>
      </x:c>
    </x:row>
    <x:row r="27" ht="20.25" customHeight="1">
      <x:c r="A27" s="2" t="str">
        <x:v>S026</x:v>
      </x:c>
      <x:c r="B27" s="2" t="str">
        <x:v>T026</x:v>
      </x:c>
      <x:c r="C27" s="2" t="str">
        <x:v>2026-09-12</x:v>
      </x:c>
      <x:c r="D27" s="2" t="str">
        <x:v>notebook</x:v>
      </x:c>
      <x:c r="E27" s="2" t="str">
        <x:v>TWD</x:v>
      </x:c>
      <x:c r="F27" s="2" t="str">
        <x:v>2</x:v>
      </x:c>
      <x:c r="G27" s="2" t="str">
        <x:v>80</x:v>
      </x:c>
      <x:c r="H27" s="2" t="str">
        <x:v>sale</x:v>
      </x:c>
      <x:c r="I27" s="2" t="str">
        <x:v>合成交易</x:v>
      </x:c>
    </x:row>
    <x:row r="28" ht="20.25" customHeight="1">
      <x:c r="A28" s="2" t="str">
        <x:v>S027</x:v>
      </x:c>
      <x:c r="B28" s="2" t="str">
        <x:v>T027</x:v>
      </x:c>
      <x:c r="C28" s="2" t="str">
        <x:v>2026-09-13</x:v>
      </x:c>
      <x:c r="D28" s="2" t="str">
        <x:v>cup</x:v>
      </x:c>
      <x:c r="E28" s="2" t="str">
        <x:v>TWD</x:v>
      </x:c>
      <x:c r="F28" s="2" t="str">
        <x:v>3</x:v>
      </x:c>
      <x:c r="G28" s="2" t="str">
        <x:v>300</x:v>
      </x:c>
      <x:c r="H28" s="2" t="str">
        <x:v>sale</x:v>
      </x:c>
      <x:c r="I28" s="2" t="str">
        <x:v>合成交易</x:v>
      </x:c>
    </x:row>
    <x:row r="29" ht="20.25" customHeight="1">
      <x:c r="A29" s="2" t="str">
        <x:v>S028</x:v>
      </x:c>
      <x:c r="B29" s="2" t="str">
        <x:v>T028</x:v>
      </x:c>
      <x:c r="C29" s="2" t="str">
        <x:v>2026-09-14</x:v>
      </x:c>
      <x:c r="D29" s="2" t="str">
        <x:v>notebook</x:v>
      </x:c>
      <x:c r="E29" s="2" t="str">
        <x:v>TWD</x:v>
      </x:c>
      <x:c r="F29" s="2" t="str">
        <x:v>1</x:v>
      </x:c>
      <x:c r="G29" s="2" t="str">
        <x:v>80</x:v>
      </x:c>
      <x:c r="H29" s="2" t="str">
        <x:v>sale</x:v>
      </x:c>
      <x:c r="I29" s="2" t="str">
        <x:v>合成交易</x:v>
      </x:c>
    </x:row>
    <x:row r="30" ht="20.25" customHeight="1">
      <x:c r="A30" s="2" t="str">
        <x:v>S029</x:v>
      </x:c>
      <x:c r="B30" s="2" t="str">
        <x:v>T029</x:v>
      </x:c>
      <x:c r="C30" s="2" t="str">
        <x:v>2026-09-01</x:v>
      </x:c>
      <x:c r="D30" s="2" t="str">
        <x:v>cup</x:v>
      </x:c>
      <x:c r="E30" s="2" t="str">
        <x:v>TWD</x:v>
      </x:c>
      <x:c r="F30" s="2" t="str">
        <x:v>2</x:v>
      </x:c>
      <x:c r="G30" s="2" t="str">
        <x:v>300</x:v>
      </x:c>
      <x:c r="H30" s="2" t="str">
        <x:v>sale</x:v>
      </x:c>
      <x:c r="I30" s="2" t="str">
        <x:v>合成交易</x:v>
      </x:c>
    </x:row>
    <x:row r="31" ht="20.25" customHeight="1">
      <x:c r="A31" s="2" t="str">
        <x:v>S030</x:v>
      </x:c>
      <x:c r="B31" s="2" t="str">
        <x:v>T030</x:v>
      </x:c>
      <x:c r="C31" s="2" t="str">
        <x:v>2026-09-02</x:v>
      </x:c>
      <x:c r="D31" s="2" t="str">
        <x:v>notebook</x:v>
      </x:c>
      <x:c r="E31" s="2" t="str">
        <x:v>TWD</x:v>
      </x:c>
      <x:c r="F31" s="2" t="str">
        <x:v>3</x:v>
      </x:c>
      <x:c r="G31" s="2" t="str">
        <x:v>80</x:v>
      </x:c>
      <x:c r="H31" s="2" t="str">
        <x:v>sale</x:v>
      </x:c>
      <x:c r="I31" s="2" t="str">
        <x:v>合成交易</x:v>
      </x:c>
    </x:row>
    <x:row r="32" ht="20.25" customHeight="1">
      <x:c r="A32" s="2" t="str">
        <x:v>S031</x:v>
      </x:c>
      <x:c r="B32" s="2" t="str">
        <x:v>T031</x:v>
      </x:c>
      <x:c r="C32" s="2" t="str">
        <x:v>2026-09-03</x:v>
      </x:c>
      <x:c r="D32" s="2" t="str">
        <x:v>cup</x:v>
      </x:c>
      <x:c r="E32" s="2" t="str">
        <x:v>TWD</x:v>
      </x:c>
      <x:c r="F32" s="2" t="str">
        <x:v>1</x:v>
      </x:c>
      <x:c r="G32" s="2" t="str">
        <x:v>300</x:v>
      </x:c>
      <x:c r="H32" s="2" t="str">
        <x:v>sale</x:v>
      </x:c>
      <x:c r="I32" s="2" t="str">
        <x:v>合成交易</x:v>
      </x:c>
    </x:row>
    <x:row r="33" ht="20.25" customHeight="1">
      <x:c r="A33" s="2" t="str">
        <x:v>S032</x:v>
      </x:c>
      <x:c r="B33" s="2" t="str">
        <x:v>T032</x:v>
      </x:c>
      <x:c r="C33" s="2" t="str">
        <x:v>2026-09-04</x:v>
      </x:c>
      <x:c r="D33" s="2" t="str">
        <x:v>notebook</x:v>
      </x:c>
      <x:c r="E33" s="2" t="str">
        <x:v>TWD</x:v>
      </x:c>
      <x:c r="F33" s="2" t="str">
        <x:v>2</x:v>
      </x:c>
      <x:c r="G33" s="2" t="str">
        <x:v>80</x:v>
      </x:c>
      <x:c r="H33" s="2" t="str">
        <x:v>sale</x:v>
      </x:c>
      <x:c r="I33" s="2" t="str">
        <x:v>合成交易</x:v>
      </x:c>
    </x:row>
    <x:row r="34" ht="20.25" customHeight="1">
      <x:c r="A34" s="2" t="str">
        <x:v>S033</x:v>
      </x:c>
      <x:c r="B34" s="2" t="str">
        <x:v>T033</x:v>
      </x:c>
      <x:c r="C34" s="2" t="str">
        <x:v>2026-09-05</x:v>
      </x:c>
      <x:c r="D34" s="2" t="str">
        <x:v>cup</x:v>
      </x:c>
      <x:c r="E34" s="2" t="str">
        <x:v>TWD</x:v>
      </x:c>
      <x:c r="F34" s="2" t="str">
        <x:v>3</x:v>
      </x:c>
      <x:c r="G34" s="2" t="str">
        <x:v>300</x:v>
      </x:c>
      <x:c r="H34" s="2" t="str">
        <x:v>sale</x:v>
      </x:c>
      <x:c r="I34" s="2" t="str">
        <x:v>合成交易</x:v>
      </x:c>
    </x:row>
    <x:row r="35" ht="20.25" customHeight="1">
      <x:c r="A35" s="2" t="str">
        <x:v>S034</x:v>
      </x:c>
      <x:c r="B35" s="2" t="str">
        <x:v>T034</x:v>
      </x:c>
      <x:c r="C35" s="2" t="str">
        <x:v>2026-09-06</x:v>
      </x:c>
      <x:c r="D35" s="2" t="str">
        <x:v>notebook</x:v>
      </x:c>
      <x:c r="E35" s="2" t="str">
        <x:v>TWD</x:v>
      </x:c>
      <x:c r="F35" s="2" t="str">
        <x:v>1</x:v>
      </x:c>
      <x:c r="G35" s="2" t="str">
        <x:v>80</x:v>
      </x:c>
      <x:c r="H35" s="2" t="str">
        <x:v>sale</x:v>
      </x:c>
      <x:c r="I35" s="2" t="str">
        <x:v>合成交易</x:v>
      </x:c>
    </x:row>
    <x:row r="36" ht="20.25" customHeight="1">
      <x:c r="A36" s="2" t="str">
        <x:v>S035</x:v>
      </x:c>
      <x:c r="B36" s="2" t="str">
        <x:v>T035</x:v>
      </x:c>
      <x:c r="C36" s="2" t="str">
        <x:v>2026-09-07</x:v>
      </x:c>
      <x:c r="D36" s="2" t="str">
        <x:v>cup</x:v>
      </x:c>
      <x:c r="E36" s="2" t="str">
        <x:v>TWD</x:v>
      </x:c>
      <x:c r="F36" s="2" t="str">
        <x:v>2</x:v>
      </x:c>
      <x:c r="G36" s="2" t="str">
        <x:v>300</x:v>
      </x:c>
      <x:c r="H36" s="2" t="str">
        <x:v>sale</x:v>
      </x:c>
      <x:c r="I36" s="2" t="str">
        <x:v>合成交易</x:v>
      </x:c>
    </x:row>
    <x:row r="37" ht="20.25" customHeight="1">
      <x:c r="A37" s="2" t="str">
        <x:v>S036</x:v>
      </x:c>
      <x:c r="B37" s="2" t="str">
        <x:v>T036</x:v>
      </x:c>
      <x:c r="C37" s="2" t="str">
        <x:v>2026-09-08</x:v>
      </x:c>
      <x:c r="D37" s="2" t="str">
        <x:v>notebook</x:v>
      </x:c>
      <x:c r="E37" s="2" t="str">
        <x:v>TWD</x:v>
      </x:c>
      <x:c r="F37" s="2" t="str">
        <x:v>3</x:v>
      </x:c>
      <x:c r="G37" s="2" t="str">
        <x:v>80</x:v>
      </x:c>
      <x:c r="H37" s="2" t="str">
        <x:v>sale</x:v>
      </x:c>
      <x:c r="I37" s="2" t="str">
        <x:v>合成交易</x:v>
      </x:c>
    </x:row>
    <x:row r="38" ht="20.25" customHeight="1">
      <x:c r="A38" s="2" t="str">
        <x:v>S037</x:v>
      </x:c>
      <x:c r="B38" s="2" t="str">
        <x:v>T037</x:v>
      </x:c>
      <x:c r="C38" s="2" t="str">
        <x:v>2026-09-09</x:v>
      </x:c>
      <x:c r="D38" s="2" t="str">
        <x:v>cup</x:v>
      </x:c>
      <x:c r="E38" s="2" t="str">
        <x:v>TWD</x:v>
      </x:c>
      <x:c r="F38" s="2" t="str">
        <x:v>1</x:v>
      </x:c>
      <x:c r="G38" s="2" t="str">
        <x:v>300</x:v>
      </x:c>
      <x:c r="H38" s="2" t="str">
        <x:v>sale</x:v>
      </x:c>
      <x:c r="I38" s="2" t="str">
        <x:v>合成交易</x:v>
      </x:c>
    </x:row>
    <x:row r="39" ht="20.25" customHeight="1">
      <x:c r="A39" s="2" t="str">
        <x:v>S038</x:v>
      </x:c>
      <x:c r="B39" s="2" t="str">
        <x:v>T038</x:v>
      </x:c>
      <x:c r="C39" s="2" t="str">
        <x:v>2026-09-10</x:v>
      </x:c>
      <x:c r="D39" s="2" t="str">
        <x:v>notebook</x:v>
      </x:c>
      <x:c r="E39" s="2" t="str">
        <x:v>TWD</x:v>
      </x:c>
      <x:c r="F39" s="2" t="str">
        <x:v>2</x:v>
      </x:c>
      <x:c r="G39" s="2" t="str">
        <x:v>80</x:v>
      </x:c>
      <x:c r="H39" s="2" t="str">
        <x:v>sale</x:v>
      </x:c>
      <x:c r="I39" s="2" t="str">
        <x:v>合成交易</x:v>
      </x:c>
    </x:row>
    <x:row r="40" ht="20.25" customHeight="1">
      <x:c r="A40" s="2" t="str">
        <x:v>S039</x:v>
      </x:c>
      <x:c r="B40" s="2" t="str">
        <x:v>T039</x:v>
      </x:c>
      <x:c r="C40" s="2" t="str">
        <x:v>2026-09-11</x:v>
      </x:c>
      <x:c r="D40" s="2" t="str">
        <x:v>cup</x:v>
      </x:c>
      <x:c r="E40" s="2" t="str">
        <x:v>TWD</x:v>
      </x:c>
      <x:c r="F40" s="2" t="str">
        <x:v>3</x:v>
      </x:c>
      <x:c r="G40" s="2" t="str">
        <x:v>300</x:v>
      </x:c>
      <x:c r="H40" s="2" t="str">
        <x:v>sale</x:v>
      </x:c>
      <x:c r="I40" s="2" t="str">
        <x:v>合成交易</x:v>
      </x:c>
    </x:row>
    <x:row r="41" ht="20.25" customHeight="1">
      <x:c r="A41" s="2" t="str">
        <x:v>S040</x:v>
      </x:c>
      <x:c r="B41" s="2" t="str">
        <x:v>T040</x:v>
      </x:c>
      <x:c r="C41" s="2" t="str">
        <x:v>2026-09-12</x:v>
      </x:c>
      <x:c r="D41" s="2" t="str">
        <x:v>notebook</x:v>
      </x:c>
      <x:c r="E41" s="2" t="str">
        <x:v>TWD</x:v>
      </x:c>
      <x:c r="F41" s="2" t="str">
        <x:v>1</x:v>
      </x:c>
      <x:c r="G41" s="2" t="str">
        <x:v>80</x:v>
      </x:c>
      <x:c r="H41" s="2" t="str">
        <x:v>sale</x:v>
      </x:c>
      <x:c r="I41" s="2" t="str">
        <x:v>合成交易</x:v>
      </x:c>
    </x:row>
    <x:row r="42" ht="20.25" customHeight="1">
      <x:c r="A42" s="2" t="str">
        <x:v>S041</x:v>
      </x:c>
      <x:c r="B42" s="2" t="str">
        <x:v>T005</x:v>
      </x:c>
      <x:c r="C42" s="2" t="str">
        <x:v>2026-09-05</x:v>
      </x:c>
      <x:c r="D42" s="2" t="str">
        <x:v>cup</x:v>
      </x:c>
      <x:c r="E42" s="2" t="str">
        <x:v>TWD</x:v>
      </x:c>
      <x:c r="F42" s="2" t="str">
        <x:v>2</x:v>
      </x:c>
      <x:c r="G42" s="2" t="str">
        <x:v>300</x:v>
      </x:c>
      <x:c r="H42" s="2" t="str">
        <x:v>sale</x:v>
      </x:c>
      <x:c r="I42" s="2" t="str">
        <x:v>合成交易</x:v>
      </x:c>
    </x:row>
    <x:row r="43" ht="20.25" customHeight="1">
      <x:c r="A43" s="2" t="str">
        <x:v>S042</x:v>
      </x:c>
      <x:c r="B43" s="2" t="str">
        <x:v>T042</x:v>
      </x:c>
      <x:c r="C43" s="2" t="str">
        <x:v>2026-09-12</x:v>
      </x:c>
      <x:c r="D43" s="2" t="str">
        <x:v>cup</x:v>
      </x:c>
      <x:c r="E43" s="2" t="str">
        <x:v>TWD</x:v>
      </x:c>
      <x:c r="F43" s="2" t="str">
        <x:v>2</x:v>
      </x:c>
      <x:c r="G43" s="2" t="str"/>
      <x:c r="H43" s="2" t="str">
        <x:v>sale</x:v>
      </x:c>
      <x:c r="I43" s="2" t="str">
        <x:v>金額缺失，不能補零</x:v>
      </x:c>
    </x:row>
    <x:row r="44" ht="20.25" customHeight="1">
      <x:c r="A44" s="2" t="str">
        <x:v>S043</x:v>
      </x:c>
      <x:c r="B44" s="2" t="str">
        <x:v>T043</x:v>
      </x:c>
      <x:c r="C44" s="2" t="str">
        <x:v>2026-02-30</x:v>
      </x:c>
      <x:c r="D44" s="2" t="str">
        <x:v>cup</x:v>
      </x:c>
      <x:c r="E44" s="2" t="str">
        <x:v>TWD</x:v>
      </x:c>
      <x:c r="F44" s="2" t="str">
        <x:v>2</x:v>
      </x:c>
      <x:c r="G44" s="2" t="str">
        <x:v>300</x:v>
      </x:c>
      <x:c r="H44" s="2" t="str">
        <x:v>sale</x:v>
      </x:c>
      <x:c r="I44" s="2" t="str">
        <x:v>無效日期</x:v>
      </x:c>
    </x:row>
    <x:row r="45" ht="20.25" customHeight="1">
      <x:c r="A45" s="2" t="str">
        <x:v>S044</x:v>
      </x:c>
      <x:c r="B45" s="2" t="str">
        <x:v>T044</x:v>
      </x:c>
      <x:c r="C45" s="2" t="str">
        <x:v>2026/09/12</x:v>
      </x:c>
      <x:c r="D45" s="2" t="str">
        <x:v>cup</x:v>
      </x:c>
      <x:c r="E45" s="2" t="str">
        <x:v>TWD</x:v>
      </x:c>
      <x:c r="F45" s="2" t="str">
        <x:v>2</x:v>
      </x:c>
      <x:c r="G45" s="2" t="str">
        <x:v>300</x:v>
      </x:c>
      <x:c r="H45" s="2" t="str">
        <x:v>sale</x:v>
      </x:c>
      <x:c r="I45" s="2" t="str">
        <x:v>明確年/月/日，可標準化</x:v>
      </x:c>
    </x:row>
    <x:row r="46" ht="20.25" customHeight="1">
      <x:c r="A46" s="2" t="str">
        <x:v>S045</x:v>
      </x:c>
      <x:c r="B46" s="2" t="str">
        <x:v>T045</x:v>
      </x:c>
      <x:c r="C46" s="2" t="str">
        <x:v>09/10/2026</x:v>
      </x:c>
      <x:c r="D46" s="2" t="str">
        <x:v>cup</x:v>
      </x:c>
      <x:c r="E46" s="2" t="str">
        <x:v>TWD</x:v>
      </x:c>
      <x:c r="F46" s="2" t="str">
        <x:v>2</x:v>
      </x:c>
      <x:c r="G46" s="2" t="str">
        <x:v>300</x:v>
      </x:c>
      <x:c r="H46" s="2" t="str">
        <x:v>sale</x:v>
      </x:c>
      <x:c r="I46" s="2" t="str">
        <x:v>日期次序不明，待確認</x:v>
      </x:c>
    </x:row>
    <x:row r="47" ht="20.25" customHeight="1">
      <x:c r="A47" s="2" t="str">
        <x:v>S046</x:v>
      </x:c>
      <x:c r="B47" s="2" t="str">
        <x:v>T046</x:v>
      </x:c>
      <x:c r="C47" s="2" t="str">
        <x:v>2026-09-12</x:v>
      </x:c>
      <x:c r="D47" s="2" t="str">
        <x:v>cup</x:v>
      </x:c>
      <x:c r="E47" s="2" t="str">
        <x:v>USD</x:v>
      </x:c>
      <x:c r="F47" s="2" t="str">
        <x:v>2</x:v>
      </x:c>
      <x:c r="G47" s="2" t="str">
        <x:v>25</x:v>
      </x:c>
      <x:c r="H47" s="2" t="str">
        <x:v>sale</x:v>
      </x:c>
      <x:c r="I47" s="2" t="str">
        <x:v>不同幣別分組，不自行換匯</x:v>
      </x:c>
    </x:row>
    <x:row r="48" ht="20.25" customHeight="1">
      <x:c r="A48" s="2" t="str">
        <x:v>S047</x:v>
      </x:c>
      <x:c r="B48" s="2" t="str">
        <x:v>T047</x:v>
      </x:c>
      <x:c r="C48" s="2" t="str">
        <x:v>2026-09-12</x:v>
      </x:c>
      <x:c r="D48" s="2" t="str">
        <x:v>cup</x:v>
      </x:c>
      <x:c r="E48" s="2" t="str"/>
      <x:c r="F48" s="2" t="str">
        <x:v>2</x:v>
      </x:c>
      <x:c r="G48" s="2" t="str">
        <x:v>300</x:v>
      </x:c>
      <x:c r="H48" s="2" t="str">
        <x:v>sale</x:v>
      </x:c>
      <x:c r="I48" s="2" t="str">
        <x:v>幣別缺失</x:v>
      </x:c>
    </x:row>
    <x:row r="49" ht="20.25" customHeight="1">
      <x:c r="A49" s="2" t="str">
        <x:v>S048</x:v>
      </x:c>
      <x:c r="B49" s="2" t="str">
        <x:v>T048</x:v>
      </x:c>
      <x:c r="C49" s="2" t="str">
        <x:v>2026-09-12</x:v>
      </x:c>
      <x:c r="D49" s="2" t="str">
        <x:v>cup</x:v>
      </x:c>
      <x:c r="E49" s="2" t="str">
        <x:v>TWD</x:v>
      </x:c>
      <x:c r="F49" s="2" t="str">
        <x:v>-1</x:v>
      </x:c>
      <x:c r="G49" s="2" t="str">
        <x:v>300</x:v>
      </x:c>
      <x:c r="H49" s="2" t="str">
        <x:v>refund</x:v>
      </x:c>
      <x:c r="I49" s="2" t="str">
        <x:v>已確認一件退款，保留負值</x:v>
      </x:c>
    </x:row>
    <x:row r="50" ht="20.25" customHeight="1">
      <x:c r="A50" s="2" t="str">
        <x:v>S049</x:v>
      </x:c>
      <x:c r="B50" s="2" t="str">
        <x:v>T049</x:v>
      </x:c>
      <x:c r="C50" s="2" t="str">
        <x:v>2026-09-12</x:v>
      </x:c>
      <x:c r="D50" s="2" t="str">
        <x:v>cup</x:v>
      </x:c>
      <x:c r="E50" s="2" t="str">
        <x:v>TWD</x:v>
      </x:c>
      <x:c r="F50" s="2" t="str">
        <x:v>100</x:v>
      </x:c>
      <x:c r="G50" s="2" t="str">
        <x:v>300</x:v>
      </x:c>
      <x:c r="H50" s="2" t="str">
        <x:v>sale</x:v>
      </x:c>
      <x:c r="I50" s="2" t="str">
        <x:v>已確認團體訂單，不能因大額刪除</x:v>
      </x:c>
    </x:row>
    <x:row r="51" ht="20.25" customHeight="1">
      <x:c r="A51" s="2" t="str">
        <x:v>S050</x:v>
      </x:c>
      <x:c r="B51" s="2" t="str">
        <x:v>T010</x:v>
      </x:c>
      <x:c r="C51" s="2" t="str">
        <x:v>2026-09-12</x:v>
      </x:c>
      <x:c r="D51" s="2" t="str">
        <x:v>notebook</x:v>
      </x:c>
      <x:c r="E51" s="2" t="str">
        <x:v>TWD</x:v>
      </x:c>
      <x:c r="F51" s="2" t="str">
        <x:v>2</x:v>
      </x:c>
      <x:c r="G51" s="2" t="str">
        <x:v>90</x:v>
      </x:c>
      <x:c r="H51" s="2" t="str">
        <x:v>sale</x:v>
      </x:c>
      <x:c r="I51" s="2" t="str">
        <x:v>與S010同單號但內容不同，兩列隔離</x:v>
      </x:c>
    </x:row>
  </x:sheetData>
  <x:pageMargins left="0.7" right="0.7" top="0.75" bottom="0.75" header="0.3" footer="0.3"/>
  <x:tableParts count="1">
    <x:tablePart xmlns:r="http://schemas.openxmlformats.org/officeDocument/2006/relationships" r:id="R6fd48a11dcd748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20.6299991607666" hidden="0" customWidth="1"/>
    <x:col min="8" max="8" width="20.6299991607666" hidden="0" customWidth="1"/>
  </x:cols>
  <x:sheetData>
    <x:row r="1" ht="21" customHeight="1">
      <x:c r="A1" s="24" t="str">
        <x:v>合成銷售資料核對</x:v>
      </x:c>
      <x:c r="B1" s="2"/>
      <x:c r="C1" s="2"/>
      <x:c r="D1" s="2"/>
      <x:c r="E1" s="2"/>
      <x:c r="F1" s="2"/>
      <x:c r="G1" s="2"/>
      <x:c r="H1" s="2"/>
    </x:row>
    <x:row r="2" ht="21" customHeight="1">
      <x:c r="A2" s="2" t="str">
        <x:v>2026-09 練習資料；分幣別統計，不做換匯。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  <x:row r="4" ht="25.5" customHeight="1">
      <x:c r="A4" s="6" t="str">
        <x:v>幣別</x:v>
      </x:c>
      <x:c r="B4" s="6" t="str">
        <x:v>商品</x:v>
      </x:c>
      <x:c r="C4" s="6" t="str">
        <x:v>採用筆數</x:v>
      </x:c>
      <x:c r="D4" s="6" t="str">
        <x:v>淨數量</x:v>
      </x:c>
      <x:c r="E4" s="6" t="str">
        <x:v>金額</x:v>
      </x:c>
      <x:c r="F4" s="6" t="str">
        <x:v>人工基準差</x:v>
      </x:c>
      <x:c r="G4" s="6" t="str">
        <x:v>基準幣別商品</x:v>
      </x:c>
      <x:c r="H4" s="6" t="str">
        <x:v>人工基準</x:v>
      </x:c>
    </x:row>
    <x:row r="5" ht="21" customHeight="1">
      <x:c r="A5" s="2" t="str">
        <x:v>TWD</x:v>
      </x:c>
      <x:c r="B5" s="2" t="str">
        <x:v>cup</x:v>
      </x:c>
      <x:c r="C5" s="2" t="n">
        <x:f>COUNTIFS('Clean'!$F$2:$F$44,A5,'Clean'!$E$2:$E$44,B5)</x:f>
        <x:v>23</x:v>
      </x:c>
      <x:c r="D5" s="2" t="n">
        <x:f>SUMIFS('Clean'!$G$2:$G$44,'Clean'!$F$2:$F$44,A5,'Clean'!$E$2:$E$44,B5)</x:f>
        <x:v>141</x:v>
      </x:c>
      <x:c r="E5" s="14" t="n">
        <x:f>SUMIFS('Clean'!$J$2:$J$44,'Clean'!$F$2:$F$44,A5,'Clean'!$E$2:$E$44,B5)</x:f>
        <x:v>42300</x:v>
      </x:c>
      <x:c r="F5" s="14" t="n">
        <x:f>E5-H5</x:f>
        <x:v>0</x:v>
      </x:c>
      <x:c r="G5" s="26" t="str">
        <x:v>TWD cup</x:v>
      </x:c>
      <x:c r="H5" s="17" t="n">
        <x:v>42300</x:v>
      </x:c>
    </x:row>
    <x:row r="6" ht="21" customHeight="1">
      <x:c r="A6" s="2" t="str">
        <x:v>TWD</x:v>
      </x:c>
      <x:c r="B6" s="2" t="str">
        <x:v>notebook</x:v>
      </x:c>
      <x:c r="C6" s="2" t="n">
        <x:f>COUNTIFS('Clean'!$F$2:$F$44,A6,'Clean'!$E$2:$E$44,B6)</x:f>
        <x:v>19</x:v>
      </x:c>
      <x:c r="D6" s="2" t="n">
        <x:f>SUMIFS('Clean'!$G$2:$G$44,'Clean'!$F$2:$F$44,A6,'Clean'!$E$2:$E$44,B6)</x:f>
        <x:v>38</x:v>
      </x:c>
      <x:c r="E6" s="14" t="n">
        <x:f>SUMIFS('Clean'!$J$2:$J$44,'Clean'!$F$2:$F$44,A6,'Clean'!$E$2:$E$44,B6)</x:f>
        <x:v>3040</x:v>
      </x:c>
      <x:c r="F6" s="14" t="n">
        <x:f>E6-H6</x:f>
        <x:v>0</x:v>
      </x:c>
      <x:c r="G6" s="26" t="str">
        <x:v>TWD notebook</x:v>
      </x:c>
      <x:c r="H6" s="17" t="n">
        <x:v>3040</x:v>
      </x:c>
    </x:row>
    <x:row r="7" ht="21" customHeight="1">
      <x:c r="A7" s="2" t="str">
        <x:v>USD</x:v>
      </x:c>
      <x:c r="B7" s="2" t="str">
        <x:v>cup</x:v>
      </x:c>
      <x:c r="C7" s="2" t="n">
        <x:f>COUNTIFS('Clean'!$F$2:$F$44,A7,'Clean'!$E$2:$E$44,B7)</x:f>
        <x:v>1</x:v>
      </x:c>
      <x:c r="D7" s="2" t="n">
        <x:f>SUMIFS('Clean'!$G$2:$G$44,'Clean'!$F$2:$F$44,A7,'Clean'!$E$2:$E$44,B7)</x:f>
        <x:v>2</x:v>
      </x:c>
      <x:c r="E7" s="14" t="n">
        <x:f>SUMIFS('Clean'!$J$2:$J$44,'Clean'!$F$2:$F$44,A7,'Clean'!$E$2:$E$44,B7)</x:f>
        <x:v>50</x:v>
      </x:c>
      <x:c r="F7" s="14" t="n">
        <x:f>E7-H7</x:f>
        <x:v>0</x:v>
      </x:c>
      <x:c r="G7" s="26" t="str">
        <x:v>USD cup</x:v>
      </x:c>
      <x:c r="H7" s="17" t="n">
        <x:v>50</x:v>
      </x:c>
    </x:row>
    <x:row r="8" ht="21" customHeight="1">
      <x:c r="A8" s="2"/>
      <x:c r="B8" s="2"/>
      <x:c r="C8" s="2"/>
      <x:c r="D8" s="2"/>
      <x:c r="E8" s="2"/>
      <x:c r="F8" s="2"/>
      <x:c r="G8" s="2"/>
      <x:c r="H8" s="2"/>
    </x:row>
    <x:row r="9" ht="21" customHeight="1">
      <x:c r="A9" s="2" t="str">
        <x:v>原始筆數</x:v>
      </x:c>
      <x:c r="B9" s="2" t="n">
        <x:f>COUNTA('Raw'!A2:A51)</x:f>
        <x:v>50</x:v>
      </x:c>
      <x:c r="C9" s="2"/>
      <x:c r="D9" s="2" t="str">
        <x:v>TWD 合計</x:v>
      </x:c>
      <x:c r="E9" s="14" t="n">
        <x:f>SUMIF(A5:A7,"TWD",E5:E7)</x:f>
        <x:v>45340</x:v>
      </x:c>
      <x:c r="F9" s="2"/>
      <x:c r="G9" s="2"/>
      <x:c r="H9" s="2"/>
    </x:row>
    <x:row r="10" ht="21" customHeight="1">
      <x:c r="A10" s="2" t="str">
        <x:v>採用筆數</x:v>
      </x:c>
      <x:c r="B10" s="2" t="n">
        <x:f>COUNTA('Clean'!A2:A44)</x:f>
        <x:v>43</x:v>
      </x:c>
      <x:c r="C10" s="2"/>
      <x:c r="D10" s="2" t="str">
        <x:v>USD 合計</x:v>
      </x:c>
      <x:c r="E10" s="14" t="n">
        <x:f>SUMIF(A5:A7,"USD",E5:E7)</x:f>
        <x:v>50</x:v>
      </x:c>
      <x:c r="F10" s="2"/>
      <x:c r="G10" s="2"/>
      <x:c r="H10" s="2"/>
    </x:row>
    <x:row r="11" ht="21" customHeight="1">
      <x:c r="A11" s="2" t="str">
        <x:v>隔離筆數</x:v>
      </x:c>
      <x:c r="B11" s="2" t="n">
        <x:f>COUNTA('Excluded'!A2:A8)</x:f>
        <x:v>7</x:v>
      </x:c>
      <x:c r="C11" s="2"/>
      <x:c r="D11" s="2" t="str">
        <x:v>列數差</x:v>
      </x:c>
      <x:c r="E11" s="2" t="n">
        <x:f>B9-B10-B11</x:f>
        <x:v>0</x:v>
      </x:c>
      <x:c r="F11" s="2"/>
      <x:c r="G11" s="2"/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</x:row>
    <x:row r="26" ht="21" customHeight="1">
      <x:c r="A26" s="2" t="str">
        <x:v>來源：sales-dirty.csv（作者原創合成資料）；人工基準見 expected-totals.csv。</x:v>
      </x:c>
      <x:c r="B26" s="2"/>
      <x:c r="C26" s="2"/>
      <x:c r="D26" s="2"/>
      <x:c r="E26" s="2"/>
      <x:c r="F26" s="2"/>
      <x:c r="G26" s="2"/>
      <x:c r="H26" s="2"/>
    </x:row>
    <x:row r="27" ht="21" customHeight="1">
      <x:c r="A27" s="2" t="str">
        <x:v>黃色格為可編輯輸入，藍色計算欄與圖表依公式更新。Clean 的 CSV 列號可回 Raw 查原文。</x:v>
      </x:c>
      <x:c r="B27" s="2"/>
      <x:c r="C27" s="2"/>
      <x:c r="D27" s="2"/>
      <x:c r="E27" s="2"/>
      <x:c r="F27" s="2"/>
      <x:c r="G27" s="2"/>
      <x:c r="H27" s="2"/>
    </x:row>
    <x:row r="28" ht="21" customHeight="1">
      <x:c r="A28" s="2" t="str">
        <x:v>本模板已完成本機計算，尚未驗證 Google Sheets 匯入與 Gemini 操作。</x:v>
      </x:c>
      <x:c r="B28" s="2"/>
      <x:c r="C28" s="2"/>
      <x:c r="D28" s="2"/>
      <x:c r="E28" s="2"/>
      <x:c r="F28" s="2"/>
      <x:c r="G28" s="2"/>
      <x:c r="H28" s="2"/>
    </x:row>
    <x:row r="29" ht="21" customHeight="1">
      <x:c r="A29" s="2" t="str">
        <x:v>圖表只含 TWD；美元另列，不將不同幣別相加。原始缺值保留於 Raw。</x:v>
      </x:c>
      <x:c r="B29" s="2"/>
      <x:c r="C29" s="2"/>
      <x:c r="D29" s="2"/>
      <x:c r="E29" s="2"/>
      <x:c r="F29" s="2"/>
      <x:c r="G29" s="2"/>
      <x:c r="H29" s="2"/>
    </x:row>
  </x:sheetData>
  <x:conditionalFormatting sqref="F5:F7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02d8f95b76d640cc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13.75" hidden="0" customWidth="1"/>
    <x:col min="3" max="3" width="19.3799991607666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41.880001068115234" hidden="0" customWidth="1"/>
  </x:cols>
  <x:sheetData>
    <x:row r="1" ht="25.5" customHeight="1">
      <x:c r="A1" s="6" t="str">
        <x:v>來源 ID</x:v>
      </x:c>
      <x:c r="B1" s="6" t="str">
        <x:v>CSV 列號</x:v>
      </x:c>
      <x:c r="C1" s="6" t="str">
        <x:v>日期</x:v>
      </x:c>
      <x:c r="D1" s="6" t="str">
        <x:v>單號</x:v>
      </x:c>
      <x:c r="E1" s="6" t="str">
        <x:v>商品</x:v>
      </x:c>
      <x:c r="F1" s="6" t="str">
        <x:v>幣別</x:v>
      </x:c>
      <x:c r="G1" s="6" t="str">
        <x:v>數量</x:v>
      </x:c>
      <x:c r="H1" s="6" t="str">
        <x:v>單價</x:v>
      </x:c>
      <x:c r="I1" s="6" t="str">
        <x:v>交易類型</x:v>
      </x:c>
      <x:c r="J1" s="6" t="str">
        <x:v>金額</x:v>
      </x:c>
      <x:c r="K1" s="6" t="str">
        <x:v>備註</x:v>
      </x:c>
    </x:row>
    <x:row r="2" ht="20.25" customHeight="1">
      <x:c r="A2" s="2" t="str">
        <x:v>S001</x:v>
      </x:c>
      <x:c r="B2" s="2" t="n">
        <x:v>2</x:v>
      </x:c>
      <x:c r="C2" s="10" t="n">
        <x:v>46266</x:v>
      </x:c>
      <x:c r="D2" s="2" t="str">
        <x:v>T001</x:v>
      </x:c>
      <x:c r="E2" s="2" t="str">
        <x:v>cup</x:v>
      </x:c>
      <x:c r="F2" s="2" t="str">
        <x:v>TWD</x:v>
      </x:c>
      <x:c r="G2" s="16" t="n">
        <x:v>1</x:v>
      </x:c>
      <x:c r="H2" s="17" t="n">
        <x:v>300</x:v>
      </x:c>
      <x:c r="I2" s="8" t="str">
        <x:v>sale</x:v>
      </x:c>
      <x:c r="J2" s="20" t="n">
        <x:f>G2*H2</x:f>
        <x:v>300</x:v>
      </x:c>
      <x:c r="K2" s="2" t="str">
        <x:v>合成交易</x:v>
      </x:c>
    </x:row>
    <x:row r="3" ht="20.25" customHeight="1">
      <x:c r="A3" s="2" t="str">
        <x:v>S002</x:v>
      </x:c>
      <x:c r="B3" s="2" t="n">
        <x:v>3</x:v>
      </x:c>
      <x:c r="C3" s="10" t="n">
        <x:v>46267</x:v>
      </x:c>
      <x:c r="D3" s="2" t="str">
        <x:v>T002</x:v>
      </x:c>
      <x:c r="E3" s="2" t="str">
        <x:v>notebook</x:v>
      </x:c>
      <x:c r="F3" s="2" t="str">
        <x:v>TWD</x:v>
      </x:c>
      <x:c r="G3" s="16" t="n">
        <x:v>2</x:v>
      </x:c>
      <x:c r="H3" s="17" t="n">
        <x:v>80</x:v>
      </x:c>
      <x:c r="I3" s="8" t="str">
        <x:v>sale</x:v>
      </x:c>
      <x:c r="J3" s="20" t="n">
        <x:f>G3*H3</x:f>
        <x:v>160</x:v>
      </x:c>
      <x:c r="K3" s="2" t="str">
        <x:v>合成交易</x:v>
      </x:c>
    </x:row>
    <x:row r="4" ht="20.25" customHeight="1">
      <x:c r="A4" s="2" t="str">
        <x:v>S003</x:v>
      </x:c>
      <x:c r="B4" s="2" t="n">
        <x:v>4</x:v>
      </x:c>
      <x:c r="C4" s="10" t="n">
        <x:v>46268</x:v>
      </x:c>
      <x:c r="D4" s="2" t="str">
        <x:v>T003</x:v>
      </x:c>
      <x:c r="E4" s="2" t="str">
        <x:v>cup</x:v>
      </x:c>
      <x:c r="F4" s="2" t="str">
        <x:v>TWD</x:v>
      </x:c>
      <x:c r="G4" s="16" t="n">
        <x:v>3</x:v>
      </x:c>
      <x:c r="H4" s="17" t="n">
        <x:v>300</x:v>
      </x:c>
      <x:c r="I4" s="8" t="str">
        <x:v>sale</x:v>
      </x:c>
      <x:c r="J4" s="20" t="n">
        <x:f>G4*H4</x:f>
        <x:v>900</x:v>
      </x:c>
      <x:c r="K4" s="2" t="str">
        <x:v>合成交易</x:v>
      </x:c>
    </x:row>
    <x:row r="5" ht="20.25" customHeight="1">
      <x:c r="A5" s="2" t="str">
        <x:v>S004</x:v>
      </x:c>
      <x:c r="B5" s="2" t="n">
        <x:v>5</x:v>
      </x:c>
      <x:c r="C5" s="10" t="n">
        <x:v>46269</x:v>
      </x:c>
      <x:c r="D5" s="2" t="str">
        <x:v>T004</x:v>
      </x:c>
      <x:c r="E5" s="2" t="str">
        <x:v>notebook</x:v>
      </x:c>
      <x:c r="F5" s="2" t="str">
        <x:v>TWD</x:v>
      </x:c>
      <x:c r="G5" s="16" t="n">
        <x:v>1</x:v>
      </x:c>
      <x:c r="H5" s="17" t="n">
        <x:v>80</x:v>
      </x:c>
      <x:c r="I5" s="8" t="str">
        <x:v>sale</x:v>
      </x:c>
      <x:c r="J5" s="20" t="n">
        <x:f>G5*H5</x:f>
        <x:v>80</x:v>
      </x:c>
      <x:c r="K5" s="2" t="str">
        <x:v>合成交易</x:v>
      </x:c>
    </x:row>
    <x:row r="6" ht="20.25" customHeight="1">
      <x:c r="A6" s="2" t="str">
        <x:v>S005</x:v>
      </x:c>
      <x:c r="B6" s="2" t="n">
        <x:v>6</x:v>
      </x:c>
      <x:c r="C6" s="10" t="n">
        <x:v>46270</x:v>
      </x:c>
      <x:c r="D6" s="2" t="str">
        <x:v>T005</x:v>
      </x:c>
      <x:c r="E6" s="2" t="str">
        <x:v>cup</x:v>
      </x:c>
      <x:c r="F6" s="2" t="str">
        <x:v>TWD</x:v>
      </x:c>
      <x:c r="G6" s="16" t="n">
        <x:v>2</x:v>
      </x:c>
      <x:c r="H6" s="17" t="n">
        <x:v>300</x:v>
      </x:c>
      <x:c r="I6" s="8" t="str">
        <x:v>sale</x:v>
      </x:c>
      <x:c r="J6" s="20" t="n">
        <x:f>G6*H6</x:f>
        <x:v>600</x:v>
      </x:c>
      <x:c r="K6" s="2" t="str">
        <x:v>合成交易</x:v>
      </x:c>
    </x:row>
    <x:row r="7" ht="20.25" customHeight="1">
      <x:c r="A7" s="2" t="str">
        <x:v>S006</x:v>
      </x:c>
      <x:c r="B7" s="2" t="n">
        <x:v>7</x:v>
      </x:c>
      <x:c r="C7" s="10" t="n">
        <x:v>46271</x:v>
      </x:c>
      <x:c r="D7" s="2" t="str">
        <x:v>T006</x:v>
      </x:c>
      <x:c r="E7" s="2" t="str">
        <x:v>notebook</x:v>
      </x:c>
      <x:c r="F7" s="2" t="str">
        <x:v>TWD</x:v>
      </x:c>
      <x:c r="G7" s="16" t="n">
        <x:v>3</x:v>
      </x:c>
      <x:c r="H7" s="17" t="n">
        <x:v>80</x:v>
      </x:c>
      <x:c r="I7" s="8" t="str">
        <x:v>sale</x:v>
      </x:c>
      <x:c r="J7" s="20" t="n">
        <x:f>G7*H7</x:f>
        <x:v>240</x:v>
      </x:c>
      <x:c r="K7" s="2" t="str">
        <x:v>合成交易</x:v>
      </x:c>
    </x:row>
    <x:row r="8" ht="20.25" customHeight="1">
      <x:c r="A8" s="2" t="str">
        <x:v>S007</x:v>
      </x:c>
      <x:c r="B8" s="2" t="n">
        <x:v>8</x:v>
      </x:c>
      <x:c r="C8" s="10" t="n">
        <x:v>46272</x:v>
      </x:c>
      <x:c r="D8" s="2" t="str">
        <x:v>T007</x:v>
      </x:c>
      <x:c r="E8" s="2" t="str">
        <x:v>cup</x:v>
      </x:c>
      <x:c r="F8" s="2" t="str">
        <x:v>TWD</x:v>
      </x:c>
      <x:c r="G8" s="16" t="n">
        <x:v>1</x:v>
      </x:c>
      <x:c r="H8" s="17" t="n">
        <x:v>300</x:v>
      </x:c>
      <x:c r="I8" s="8" t="str">
        <x:v>sale</x:v>
      </x:c>
      <x:c r="J8" s="20" t="n">
        <x:f>G8*H8</x:f>
        <x:v>300</x:v>
      </x:c>
      <x:c r="K8" s="2" t="str">
        <x:v>合成交易</x:v>
      </x:c>
    </x:row>
    <x:row r="9" ht="20.25" customHeight="1">
      <x:c r="A9" s="2" t="str">
        <x:v>S008</x:v>
      </x:c>
      <x:c r="B9" s="2" t="n">
        <x:v>9</x:v>
      </x:c>
      <x:c r="C9" s="10" t="n">
        <x:v>46273</x:v>
      </x:c>
      <x:c r="D9" s="2" t="str">
        <x:v>T008</x:v>
      </x:c>
      <x:c r="E9" s="2" t="str">
        <x:v>notebook</x:v>
      </x:c>
      <x:c r="F9" s="2" t="str">
        <x:v>TWD</x:v>
      </x:c>
      <x:c r="G9" s="16" t="n">
        <x:v>2</x:v>
      </x:c>
      <x:c r="H9" s="17" t="n">
        <x:v>80</x:v>
      </x:c>
      <x:c r="I9" s="8" t="str">
        <x:v>sale</x:v>
      </x:c>
      <x:c r="J9" s="20" t="n">
        <x:f>G9*H9</x:f>
        <x:v>160</x:v>
      </x:c>
      <x:c r="K9" s="2" t="str">
        <x:v>合成交易</x:v>
      </x:c>
    </x:row>
    <x:row r="10" ht="20.25" customHeight="1">
      <x:c r="A10" s="2" t="str">
        <x:v>S009</x:v>
      </x:c>
      <x:c r="B10" s="2" t="n">
        <x:v>10</x:v>
      </x:c>
      <x:c r="C10" s="10" t="n">
        <x:v>46274</x:v>
      </x:c>
      <x:c r="D10" s="2" t="str">
        <x:v>T009</x:v>
      </x:c>
      <x:c r="E10" s="2" t="str">
        <x:v>cup</x:v>
      </x:c>
      <x:c r="F10" s="2" t="str">
        <x:v>TWD</x:v>
      </x:c>
      <x:c r="G10" s="16" t="n">
        <x:v>3</x:v>
      </x:c>
      <x:c r="H10" s="17" t="n">
        <x:v>300</x:v>
      </x:c>
      <x:c r="I10" s="8" t="str">
        <x:v>sale</x:v>
      </x:c>
      <x:c r="J10" s="20" t="n">
        <x:f>G10*H10</x:f>
        <x:v>900</x:v>
      </x:c>
      <x:c r="K10" s="2" t="str">
        <x:v>合成交易</x:v>
      </x:c>
    </x:row>
    <x:row r="11" ht="20.25" customHeight="1">
      <x:c r="A11" s="2" t="str">
        <x:v>S011</x:v>
      </x:c>
      <x:c r="B11" s="2" t="n">
        <x:v>12</x:v>
      </x:c>
      <x:c r="C11" s="10" t="n">
        <x:v>46276</x:v>
      </x:c>
      <x:c r="D11" s="2" t="str">
        <x:v>T011</x:v>
      </x:c>
      <x:c r="E11" s="2" t="str">
        <x:v>cup</x:v>
      </x:c>
      <x:c r="F11" s="2" t="str">
        <x:v>TWD</x:v>
      </x:c>
      <x:c r="G11" s="16" t="n">
        <x:v>2</x:v>
      </x:c>
      <x:c r="H11" s="17" t="n">
        <x:v>300</x:v>
      </x:c>
      <x:c r="I11" s="8" t="str">
        <x:v>sale</x:v>
      </x:c>
      <x:c r="J11" s="20" t="n">
        <x:f>G11*H11</x:f>
        <x:v>600</x:v>
      </x:c>
      <x:c r="K11" s="2" t="str">
        <x:v>合成交易</x:v>
      </x:c>
    </x:row>
    <x:row r="12" ht="20.25" customHeight="1">
      <x:c r="A12" s="2" t="str">
        <x:v>S012</x:v>
      </x:c>
      <x:c r="B12" s="2" t="n">
        <x:v>13</x:v>
      </x:c>
      <x:c r="C12" s="10" t="n">
        <x:v>46277</x:v>
      </x:c>
      <x:c r="D12" s="2" t="str">
        <x:v>T012</x:v>
      </x:c>
      <x:c r="E12" s="2" t="str">
        <x:v>notebook</x:v>
      </x:c>
      <x:c r="F12" s="2" t="str">
        <x:v>TWD</x:v>
      </x:c>
      <x:c r="G12" s="16" t="n">
        <x:v>3</x:v>
      </x:c>
      <x:c r="H12" s="17" t="n">
        <x:v>80</x:v>
      </x:c>
      <x:c r="I12" s="8" t="str">
        <x:v>sale</x:v>
      </x:c>
      <x:c r="J12" s="20" t="n">
        <x:f>G12*H12</x:f>
        <x:v>240</x:v>
      </x:c>
      <x:c r="K12" s="2" t="str">
        <x:v>合成交易</x:v>
      </x:c>
    </x:row>
    <x:row r="13" ht="20.25" customHeight="1">
      <x:c r="A13" s="2" t="str">
        <x:v>S013</x:v>
      </x:c>
      <x:c r="B13" s="2" t="n">
        <x:v>14</x:v>
      </x:c>
      <x:c r="C13" s="10" t="n">
        <x:v>46278</x:v>
      </x:c>
      <x:c r="D13" s="2" t="str">
        <x:v>T013</x:v>
      </x:c>
      <x:c r="E13" s="2" t="str">
        <x:v>cup</x:v>
      </x:c>
      <x:c r="F13" s="2" t="str">
        <x:v>TWD</x:v>
      </x:c>
      <x:c r="G13" s="16" t="n">
        <x:v>1</x:v>
      </x:c>
      <x:c r="H13" s="17" t="n">
        <x:v>300</x:v>
      </x:c>
      <x:c r="I13" s="8" t="str">
        <x:v>sale</x:v>
      </x:c>
      <x:c r="J13" s="20" t="n">
        <x:f>G13*H13</x:f>
        <x:v>300</x:v>
      </x:c>
      <x:c r="K13" s="2" t="str">
        <x:v>合成交易</x:v>
      </x:c>
    </x:row>
    <x:row r="14" ht="20.25" customHeight="1">
      <x:c r="A14" s="2" t="str">
        <x:v>S014</x:v>
      </x:c>
      <x:c r="B14" s="2" t="n">
        <x:v>15</x:v>
      </x:c>
      <x:c r="C14" s="10" t="n">
        <x:v>46279</x:v>
      </x:c>
      <x:c r="D14" s="2" t="str">
        <x:v>T014</x:v>
      </x:c>
      <x:c r="E14" s="2" t="str">
        <x:v>notebook</x:v>
      </x:c>
      <x:c r="F14" s="2" t="str">
        <x:v>TWD</x:v>
      </x:c>
      <x:c r="G14" s="16" t="n">
        <x:v>2</x:v>
      </x:c>
      <x:c r="H14" s="17" t="n">
        <x:v>80</x:v>
      </x:c>
      <x:c r="I14" s="8" t="str">
        <x:v>sale</x:v>
      </x:c>
      <x:c r="J14" s="20" t="n">
        <x:f>G14*H14</x:f>
        <x:v>160</x:v>
      </x:c>
      <x:c r="K14" s="2" t="str">
        <x:v>合成交易</x:v>
      </x:c>
    </x:row>
    <x:row r="15" ht="20.25" customHeight="1">
      <x:c r="A15" s="2" t="str">
        <x:v>S015</x:v>
      </x:c>
      <x:c r="B15" s="2" t="n">
        <x:v>16</x:v>
      </x:c>
      <x:c r="C15" s="10" t="n">
        <x:v>46266</x:v>
      </x:c>
      <x:c r="D15" s="2" t="str">
        <x:v>T015</x:v>
      </x:c>
      <x:c r="E15" s="2" t="str">
        <x:v>cup</x:v>
      </x:c>
      <x:c r="F15" s="2" t="str">
        <x:v>TWD</x:v>
      </x:c>
      <x:c r="G15" s="16" t="n">
        <x:v>3</x:v>
      </x:c>
      <x:c r="H15" s="17" t="n">
        <x:v>300</x:v>
      </x:c>
      <x:c r="I15" s="8" t="str">
        <x:v>sale</x:v>
      </x:c>
      <x:c r="J15" s="20" t="n">
        <x:f>G15*H15</x:f>
        <x:v>900</x:v>
      </x:c>
      <x:c r="K15" s="2" t="str">
        <x:v>合成交易</x:v>
      </x:c>
    </x:row>
    <x:row r="16" ht="20.25" customHeight="1">
      <x:c r="A16" s="2" t="str">
        <x:v>S016</x:v>
      </x:c>
      <x:c r="B16" s="2" t="n">
        <x:v>17</x:v>
      </x:c>
      <x:c r="C16" s="10" t="n">
        <x:v>46267</x:v>
      </x:c>
      <x:c r="D16" s="2" t="str">
        <x:v>T016</x:v>
      </x:c>
      <x:c r="E16" s="2" t="str">
        <x:v>notebook</x:v>
      </x:c>
      <x:c r="F16" s="2" t="str">
        <x:v>TWD</x:v>
      </x:c>
      <x:c r="G16" s="16" t="n">
        <x:v>1</x:v>
      </x:c>
      <x:c r="H16" s="17" t="n">
        <x:v>80</x:v>
      </x:c>
      <x:c r="I16" s="8" t="str">
        <x:v>sale</x:v>
      </x:c>
      <x:c r="J16" s="20" t="n">
        <x:f>G16*H16</x:f>
        <x:v>80</x:v>
      </x:c>
      <x:c r="K16" s="2" t="str">
        <x:v>合成交易</x:v>
      </x:c>
    </x:row>
    <x:row r="17" ht="20.25" customHeight="1">
      <x:c r="A17" s="2" t="str">
        <x:v>S017</x:v>
      </x:c>
      <x:c r="B17" s="2" t="n">
        <x:v>18</x:v>
      </x:c>
      <x:c r="C17" s="10" t="n">
        <x:v>46268</x:v>
      </x:c>
      <x:c r="D17" s="2" t="str">
        <x:v>T017</x:v>
      </x:c>
      <x:c r="E17" s="2" t="str">
        <x:v>cup</x:v>
      </x:c>
      <x:c r="F17" s="2" t="str">
        <x:v>TWD</x:v>
      </x:c>
      <x:c r="G17" s="16" t="n">
        <x:v>2</x:v>
      </x:c>
      <x:c r="H17" s="17" t="n">
        <x:v>300</x:v>
      </x:c>
      <x:c r="I17" s="8" t="str">
        <x:v>sale</x:v>
      </x:c>
      <x:c r="J17" s="20" t="n">
        <x:f>G17*H17</x:f>
        <x:v>600</x:v>
      </x:c>
      <x:c r="K17" s="2" t="str">
        <x:v>合成交易</x:v>
      </x:c>
    </x:row>
    <x:row r="18" ht="20.25" customHeight="1">
      <x:c r="A18" s="2" t="str">
        <x:v>S018</x:v>
      </x:c>
      <x:c r="B18" s="2" t="n">
        <x:v>19</x:v>
      </x:c>
      <x:c r="C18" s="10" t="n">
        <x:v>46269</x:v>
      </x:c>
      <x:c r="D18" s="2" t="str">
        <x:v>T018</x:v>
      </x:c>
      <x:c r="E18" s="2" t="str">
        <x:v>notebook</x:v>
      </x:c>
      <x:c r="F18" s="2" t="str">
        <x:v>TWD</x:v>
      </x:c>
      <x:c r="G18" s="16" t="n">
        <x:v>3</x:v>
      </x:c>
      <x:c r="H18" s="17" t="n">
        <x:v>80</x:v>
      </x:c>
      <x:c r="I18" s="8" t="str">
        <x:v>sale</x:v>
      </x:c>
      <x:c r="J18" s="20" t="n">
        <x:f>G18*H18</x:f>
        <x:v>240</x:v>
      </x:c>
      <x:c r="K18" s="2" t="str">
        <x:v>合成交易</x:v>
      </x:c>
    </x:row>
    <x:row r="19" ht="20.25" customHeight="1">
      <x:c r="A19" s="2" t="str">
        <x:v>S019</x:v>
      </x:c>
      <x:c r="B19" s="2" t="n">
        <x:v>20</x:v>
      </x:c>
      <x:c r="C19" s="10" t="n">
        <x:v>46270</x:v>
      </x:c>
      <x:c r="D19" s="2" t="str">
        <x:v>T019</x:v>
      </x:c>
      <x:c r="E19" s="2" t="str">
        <x:v>cup</x:v>
      </x:c>
      <x:c r="F19" s="2" t="str">
        <x:v>TWD</x:v>
      </x:c>
      <x:c r="G19" s="16" t="n">
        <x:v>1</x:v>
      </x:c>
      <x:c r="H19" s="17" t="n">
        <x:v>300</x:v>
      </x:c>
      <x:c r="I19" s="8" t="str">
        <x:v>sale</x:v>
      </x:c>
      <x:c r="J19" s="20" t="n">
        <x:f>G19*H19</x:f>
        <x:v>300</x:v>
      </x:c>
      <x:c r="K19" s="2" t="str">
        <x:v>合成交易</x:v>
      </x:c>
    </x:row>
    <x:row r="20" ht="20.25" customHeight="1">
      <x:c r="A20" s="2" t="str">
        <x:v>S020</x:v>
      </x:c>
      <x:c r="B20" s="2" t="n">
        <x:v>21</x:v>
      </x:c>
      <x:c r="C20" s="10" t="n">
        <x:v>46271</x:v>
      </x:c>
      <x:c r="D20" s="2" t="str">
        <x:v>T020</x:v>
      </x:c>
      <x:c r="E20" s="2" t="str">
        <x:v>notebook</x:v>
      </x:c>
      <x:c r="F20" s="2" t="str">
        <x:v>TWD</x:v>
      </x:c>
      <x:c r="G20" s="16" t="n">
        <x:v>2</x:v>
      </x:c>
      <x:c r="H20" s="17" t="n">
        <x:v>80</x:v>
      </x:c>
      <x:c r="I20" s="8" t="str">
        <x:v>sale</x:v>
      </x:c>
      <x:c r="J20" s="20" t="n">
        <x:f>G20*H20</x:f>
        <x:v>160</x:v>
      </x:c>
      <x:c r="K20" s="2" t="str">
        <x:v>合成交易</x:v>
      </x:c>
    </x:row>
    <x:row r="21" ht="20.25" customHeight="1">
      <x:c r="A21" s="2" t="str">
        <x:v>S021</x:v>
      </x:c>
      <x:c r="B21" s="2" t="n">
        <x:v>22</x:v>
      </x:c>
      <x:c r="C21" s="10" t="n">
        <x:v>46272</x:v>
      </x:c>
      <x:c r="D21" s="2" t="str">
        <x:v>T021</x:v>
      </x:c>
      <x:c r="E21" s="2" t="str">
        <x:v>cup</x:v>
      </x:c>
      <x:c r="F21" s="2" t="str">
        <x:v>TWD</x:v>
      </x:c>
      <x:c r="G21" s="16" t="n">
        <x:v>3</x:v>
      </x:c>
      <x:c r="H21" s="17" t="n">
        <x:v>300</x:v>
      </x:c>
      <x:c r="I21" s="8" t="str">
        <x:v>sale</x:v>
      </x:c>
      <x:c r="J21" s="20" t="n">
        <x:f>G21*H21</x:f>
        <x:v>900</x:v>
      </x:c>
      <x:c r="K21" s="2" t="str">
        <x:v>合成交易</x:v>
      </x:c>
    </x:row>
    <x:row r="22" ht="20.25" customHeight="1">
      <x:c r="A22" s="2" t="str">
        <x:v>S022</x:v>
      </x:c>
      <x:c r="B22" s="2" t="n">
        <x:v>23</x:v>
      </x:c>
      <x:c r="C22" s="10" t="n">
        <x:v>46273</x:v>
      </x:c>
      <x:c r="D22" s="2" t="str">
        <x:v>T022</x:v>
      </x:c>
      <x:c r="E22" s="2" t="str">
        <x:v>notebook</x:v>
      </x:c>
      <x:c r="F22" s="2" t="str">
        <x:v>TWD</x:v>
      </x:c>
      <x:c r="G22" s="16" t="n">
        <x:v>1</x:v>
      </x:c>
      <x:c r="H22" s="17" t="n">
        <x:v>80</x:v>
      </x:c>
      <x:c r="I22" s="8" t="str">
        <x:v>sale</x:v>
      </x:c>
      <x:c r="J22" s="20" t="n">
        <x:f>G22*H22</x:f>
        <x:v>80</x:v>
      </x:c>
      <x:c r="K22" s="2" t="str">
        <x:v>合成交易</x:v>
      </x:c>
    </x:row>
    <x:row r="23" ht="20.25" customHeight="1">
      <x:c r="A23" s="2" t="str">
        <x:v>S023</x:v>
      </x:c>
      <x:c r="B23" s="2" t="n">
        <x:v>24</x:v>
      </x:c>
      <x:c r="C23" s="10" t="n">
        <x:v>46274</x:v>
      </x:c>
      <x:c r="D23" s="2" t="str">
        <x:v>T023</x:v>
      </x:c>
      <x:c r="E23" s="2" t="str">
        <x:v>cup</x:v>
      </x:c>
      <x:c r="F23" s="2" t="str">
        <x:v>TWD</x:v>
      </x:c>
      <x:c r="G23" s="16" t="n">
        <x:v>2</x:v>
      </x:c>
      <x:c r="H23" s="17" t="n">
        <x:v>300</x:v>
      </x:c>
      <x:c r="I23" s="8" t="str">
        <x:v>sale</x:v>
      </x:c>
      <x:c r="J23" s="20" t="n">
        <x:f>G23*H23</x:f>
        <x:v>600</x:v>
      </x:c>
      <x:c r="K23" s="2" t="str">
        <x:v>合成交易</x:v>
      </x:c>
    </x:row>
    <x:row r="24" ht="20.25" customHeight="1">
      <x:c r="A24" s="2" t="str">
        <x:v>S024</x:v>
      </x:c>
      <x:c r="B24" s="2" t="n">
        <x:v>25</x:v>
      </x:c>
      <x:c r="C24" s="10" t="n">
        <x:v>46275</x:v>
      </x:c>
      <x:c r="D24" s="2" t="str">
        <x:v>T024</x:v>
      </x:c>
      <x:c r="E24" s="2" t="str">
        <x:v>notebook</x:v>
      </x:c>
      <x:c r="F24" s="2" t="str">
        <x:v>TWD</x:v>
      </x:c>
      <x:c r="G24" s="16" t="n">
        <x:v>3</x:v>
      </x:c>
      <x:c r="H24" s="17" t="n">
        <x:v>80</x:v>
      </x:c>
      <x:c r="I24" s="8" t="str">
        <x:v>sale</x:v>
      </x:c>
      <x:c r="J24" s="20" t="n">
        <x:f>G24*H24</x:f>
        <x:v>240</x:v>
      </x:c>
      <x:c r="K24" s="2" t="str">
        <x:v>合成交易</x:v>
      </x:c>
    </x:row>
    <x:row r="25" ht="20.25" customHeight="1">
      <x:c r="A25" s="2" t="str">
        <x:v>S025</x:v>
      </x:c>
      <x:c r="B25" s="2" t="n">
        <x:v>26</x:v>
      </x:c>
      <x:c r="C25" s="10" t="n">
        <x:v>46276</x:v>
      </x:c>
      <x:c r="D25" s="2" t="str">
        <x:v>T025</x:v>
      </x:c>
      <x:c r="E25" s="2" t="str">
        <x:v>cup</x:v>
      </x:c>
      <x:c r="F25" s="2" t="str">
        <x:v>TWD</x:v>
      </x:c>
      <x:c r="G25" s="16" t="n">
        <x:v>1</x:v>
      </x:c>
      <x:c r="H25" s="17" t="n">
        <x:v>300</x:v>
      </x:c>
      <x:c r="I25" s="8" t="str">
        <x:v>sale</x:v>
      </x:c>
      <x:c r="J25" s="20" t="n">
        <x:f>G25*H25</x:f>
        <x:v>300</x:v>
      </x:c>
      <x:c r="K25" s="2" t="str">
        <x:v>合成交易</x:v>
      </x:c>
    </x:row>
    <x:row r="26" ht="20.25" customHeight="1">
      <x:c r="A26" s="2" t="str">
        <x:v>S026</x:v>
      </x:c>
      <x:c r="B26" s="2" t="n">
        <x:v>27</x:v>
      </x:c>
      <x:c r="C26" s="10" t="n">
        <x:v>46277</x:v>
      </x:c>
      <x:c r="D26" s="2" t="str">
        <x:v>T026</x:v>
      </x:c>
      <x:c r="E26" s="2" t="str">
        <x:v>notebook</x:v>
      </x:c>
      <x:c r="F26" s="2" t="str">
        <x:v>TWD</x:v>
      </x:c>
      <x:c r="G26" s="16" t="n">
        <x:v>2</x:v>
      </x:c>
      <x:c r="H26" s="17" t="n">
        <x:v>80</x:v>
      </x:c>
      <x:c r="I26" s="8" t="str">
        <x:v>sale</x:v>
      </x:c>
      <x:c r="J26" s="20" t="n">
        <x:f>G26*H26</x:f>
        <x:v>160</x:v>
      </x:c>
      <x:c r="K26" s="2" t="str">
        <x:v>合成交易</x:v>
      </x:c>
    </x:row>
    <x:row r="27" ht="20.25" customHeight="1">
      <x:c r="A27" s="2" t="str">
        <x:v>S027</x:v>
      </x:c>
      <x:c r="B27" s="2" t="n">
        <x:v>28</x:v>
      </x:c>
      <x:c r="C27" s="10" t="n">
        <x:v>46278</x:v>
      </x:c>
      <x:c r="D27" s="2" t="str">
        <x:v>T027</x:v>
      </x:c>
      <x:c r="E27" s="2" t="str">
        <x:v>cup</x:v>
      </x:c>
      <x:c r="F27" s="2" t="str">
        <x:v>TWD</x:v>
      </x:c>
      <x:c r="G27" s="16" t="n">
        <x:v>3</x:v>
      </x:c>
      <x:c r="H27" s="17" t="n">
        <x:v>300</x:v>
      </x:c>
      <x:c r="I27" s="8" t="str">
        <x:v>sale</x:v>
      </x:c>
      <x:c r="J27" s="20" t="n">
        <x:f>G27*H27</x:f>
        <x:v>900</x:v>
      </x:c>
      <x:c r="K27" s="2" t="str">
        <x:v>合成交易</x:v>
      </x:c>
    </x:row>
    <x:row r="28" ht="20.25" customHeight="1">
      <x:c r="A28" s="2" t="str">
        <x:v>S028</x:v>
      </x:c>
      <x:c r="B28" s="2" t="n">
        <x:v>29</x:v>
      </x:c>
      <x:c r="C28" s="10" t="n">
        <x:v>46279</x:v>
      </x:c>
      <x:c r="D28" s="2" t="str">
        <x:v>T028</x:v>
      </x:c>
      <x:c r="E28" s="2" t="str">
        <x:v>notebook</x:v>
      </x:c>
      <x:c r="F28" s="2" t="str">
        <x:v>TWD</x:v>
      </x:c>
      <x:c r="G28" s="16" t="n">
        <x:v>1</x:v>
      </x:c>
      <x:c r="H28" s="17" t="n">
        <x:v>80</x:v>
      </x:c>
      <x:c r="I28" s="8" t="str">
        <x:v>sale</x:v>
      </x:c>
      <x:c r="J28" s="20" t="n">
        <x:f>G28*H28</x:f>
        <x:v>80</x:v>
      </x:c>
      <x:c r="K28" s="2" t="str">
        <x:v>合成交易</x:v>
      </x:c>
    </x:row>
    <x:row r="29" ht="20.25" customHeight="1">
      <x:c r="A29" s="2" t="str">
        <x:v>S029</x:v>
      </x:c>
      <x:c r="B29" s="2" t="n">
        <x:v>30</x:v>
      </x:c>
      <x:c r="C29" s="10" t="n">
        <x:v>46266</x:v>
      </x:c>
      <x:c r="D29" s="2" t="str">
        <x:v>T029</x:v>
      </x:c>
      <x:c r="E29" s="2" t="str">
        <x:v>cup</x:v>
      </x:c>
      <x:c r="F29" s="2" t="str">
        <x:v>TWD</x:v>
      </x:c>
      <x:c r="G29" s="16" t="n">
        <x:v>2</x:v>
      </x:c>
      <x:c r="H29" s="17" t="n">
        <x:v>300</x:v>
      </x:c>
      <x:c r="I29" s="8" t="str">
        <x:v>sale</x:v>
      </x:c>
      <x:c r="J29" s="20" t="n">
        <x:f>G29*H29</x:f>
        <x:v>600</x:v>
      </x:c>
      <x:c r="K29" s="2" t="str">
        <x:v>合成交易</x:v>
      </x:c>
    </x:row>
    <x:row r="30" ht="20.25" customHeight="1">
      <x:c r="A30" s="2" t="str">
        <x:v>S030</x:v>
      </x:c>
      <x:c r="B30" s="2" t="n">
        <x:v>31</x:v>
      </x:c>
      <x:c r="C30" s="10" t="n">
        <x:v>46267</x:v>
      </x:c>
      <x:c r="D30" s="2" t="str">
        <x:v>T030</x:v>
      </x:c>
      <x:c r="E30" s="2" t="str">
        <x:v>notebook</x:v>
      </x:c>
      <x:c r="F30" s="2" t="str">
        <x:v>TWD</x:v>
      </x:c>
      <x:c r="G30" s="16" t="n">
        <x:v>3</x:v>
      </x:c>
      <x:c r="H30" s="17" t="n">
        <x:v>80</x:v>
      </x:c>
      <x:c r="I30" s="8" t="str">
        <x:v>sale</x:v>
      </x:c>
      <x:c r="J30" s="20" t="n">
        <x:f>G30*H30</x:f>
        <x:v>240</x:v>
      </x:c>
      <x:c r="K30" s="2" t="str">
        <x:v>合成交易</x:v>
      </x:c>
    </x:row>
    <x:row r="31" ht="20.25" customHeight="1">
      <x:c r="A31" s="2" t="str">
        <x:v>S031</x:v>
      </x:c>
      <x:c r="B31" s="2" t="n">
        <x:v>32</x:v>
      </x:c>
      <x:c r="C31" s="10" t="n">
        <x:v>46268</x:v>
      </x:c>
      <x:c r="D31" s="2" t="str">
        <x:v>T031</x:v>
      </x:c>
      <x:c r="E31" s="2" t="str">
        <x:v>cup</x:v>
      </x:c>
      <x:c r="F31" s="2" t="str">
        <x:v>TWD</x:v>
      </x:c>
      <x:c r="G31" s="16" t="n">
        <x:v>1</x:v>
      </x:c>
      <x:c r="H31" s="17" t="n">
        <x:v>300</x:v>
      </x:c>
      <x:c r="I31" s="8" t="str">
        <x:v>sale</x:v>
      </x:c>
      <x:c r="J31" s="20" t="n">
        <x:f>G31*H31</x:f>
        <x:v>300</x:v>
      </x:c>
      <x:c r="K31" s="2" t="str">
        <x:v>合成交易</x:v>
      </x:c>
    </x:row>
    <x:row r="32" ht="20.25" customHeight="1">
      <x:c r="A32" s="2" t="str">
        <x:v>S032</x:v>
      </x:c>
      <x:c r="B32" s="2" t="n">
        <x:v>33</x:v>
      </x:c>
      <x:c r="C32" s="10" t="n">
        <x:v>46269</x:v>
      </x:c>
      <x:c r="D32" s="2" t="str">
        <x:v>T032</x:v>
      </x:c>
      <x:c r="E32" s="2" t="str">
        <x:v>notebook</x:v>
      </x:c>
      <x:c r="F32" s="2" t="str">
        <x:v>TWD</x:v>
      </x:c>
      <x:c r="G32" s="16" t="n">
        <x:v>2</x:v>
      </x:c>
      <x:c r="H32" s="17" t="n">
        <x:v>80</x:v>
      </x:c>
      <x:c r="I32" s="8" t="str">
        <x:v>sale</x:v>
      </x:c>
      <x:c r="J32" s="20" t="n">
        <x:f>G32*H32</x:f>
        <x:v>160</x:v>
      </x:c>
      <x:c r="K32" s="2" t="str">
        <x:v>合成交易</x:v>
      </x:c>
    </x:row>
    <x:row r="33" ht="20.25" customHeight="1">
      <x:c r="A33" s="2" t="str">
        <x:v>S033</x:v>
      </x:c>
      <x:c r="B33" s="2" t="n">
        <x:v>34</x:v>
      </x:c>
      <x:c r="C33" s="10" t="n">
        <x:v>46270</x:v>
      </x:c>
      <x:c r="D33" s="2" t="str">
        <x:v>T033</x:v>
      </x:c>
      <x:c r="E33" s="2" t="str">
        <x:v>cup</x:v>
      </x:c>
      <x:c r="F33" s="2" t="str">
        <x:v>TWD</x:v>
      </x:c>
      <x:c r="G33" s="16" t="n">
        <x:v>3</x:v>
      </x:c>
      <x:c r="H33" s="17" t="n">
        <x:v>300</x:v>
      </x:c>
      <x:c r="I33" s="8" t="str">
        <x:v>sale</x:v>
      </x:c>
      <x:c r="J33" s="20" t="n">
        <x:f>G33*H33</x:f>
        <x:v>900</x:v>
      </x:c>
      <x:c r="K33" s="2" t="str">
        <x:v>合成交易</x:v>
      </x:c>
    </x:row>
    <x:row r="34" ht="20.25" customHeight="1">
      <x:c r="A34" s="2" t="str">
        <x:v>S034</x:v>
      </x:c>
      <x:c r="B34" s="2" t="n">
        <x:v>35</x:v>
      </x:c>
      <x:c r="C34" s="10" t="n">
        <x:v>46271</x:v>
      </x:c>
      <x:c r="D34" s="2" t="str">
        <x:v>T034</x:v>
      </x:c>
      <x:c r="E34" s="2" t="str">
        <x:v>notebook</x:v>
      </x:c>
      <x:c r="F34" s="2" t="str">
        <x:v>TWD</x:v>
      </x:c>
      <x:c r="G34" s="16" t="n">
        <x:v>1</x:v>
      </x:c>
      <x:c r="H34" s="17" t="n">
        <x:v>80</x:v>
      </x:c>
      <x:c r="I34" s="8" t="str">
        <x:v>sale</x:v>
      </x:c>
      <x:c r="J34" s="20" t="n">
        <x:f>G34*H34</x:f>
        <x:v>80</x:v>
      </x:c>
      <x:c r="K34" s="2" t="str">
        <x:v>合成交易</x:v>
      </x:c>
    </x:row>
    <x:row r="35" ht="20.25" customHeight="1">
      <x:c r="A35" s="2" t="str">
        <x:v>S035</x:v>
      </x:c>
      <x:c r="B35" s="2" t="n">
        <x:v>36</x:v>
      </x:c>
      <x:c r="C35" s="10" t="n">
        <x:v>46272</x:v>
      </x:c>
      <x:c r="D35" s="2" t="str">
        <x:v>T035</x:v>
      </x:c>
      <x:c r="E35" s="2" t="str">
        <x:v>cup</x:v>
      </x:c>
      <x:c r="F35" s="2" t="str">
        <x:v>TWD</x:v>
      </x:c>
      <x:c r="G35" s="16" t="n">
        <x:v>2</x:v>
      </x:c>
      <x:c r="H35" s="17" t="n">
        <x:v>300</x:v>
      </x:c>
      <x:c r="I35" s="8" t="str">
        <x:v>sale</x:v>
      </x:c>
      <x:c r="J35" s="20" t="n">
        <x:f>G35*H35</x:f>
        <x:v>600</x:v>
      </x:c>
      <x:c r="K35" s="2" t="str">
        <x:v>合成交易</x:v>
      </x:c>
    </x:row>
    <x:row r="36" ht="20.25" customHeight="1">
      <x:c r="A36" s="2" t="str">
        <x:v>S036</x:v>
      </x:c>
      <x:c r="B36" s="2" t="n">
        <x:v>37</x:v>
      </x:c>
      <x:c r="C36" s="10" t="n">
        <x:v>46273</x:v>
      </x:c>
      <x:c r="D36" s="2" t="str">
        <x:v>T036</x:v>
      </x:c>
      <x:c r="E36" s="2" t="str">
        <x:v>notebook</x:v>
      </x:c>
      <x:c r="F36" s="2" t="str">
        <x:v>TWD</x:v>
      </x:c>
      <x:c r="G36" s="16" t="n">
        <x:v>3</x:v>
      </x:c>
      <x:c r="H36" s="17" t="n">
        <x:v>80</x:v>
      </x:c>
      <x:c r="I36" s="8" t="str">
        <x:v>sale</x:v>
      </x:c>
      <x:c r="J36" s="20" t="n">
        <x:f>G36*H36</x:f>
        <x:v>240</x:v>
      </x:c>
      <x:c r="K36" s="2" t="str">
        <x:v>合成交易</x:v>
      </x:c>
    </x:row>
    <x:row r="37" ht="20.25" customHeight="1">
      <x:c r="A37" s="2" t="str">
        <x:v>S037</x:v>
      </x:c>
      <x:c r="B37" s="2" t="n">
        <x:v>38</x:v>
      </x:c>
      <x:c r="C37" s="10" t="n">
        <x:v>46274</x:v>
      </x:c>
      <x:c r="D37" s="2" t="str">
        <x:v>T037</x:v>
      </x:c>
      <x:c r="E37" s="2" t="str">
        <x:v>cup</x:v>
      </x:c>
      <x:c r="F37" s="2" t="str">
        <x:v>TWD</x:v>
      </x:c>
      <x:c r="G37" s="16" t="n">
        <x:v>1</x:v>
      </x:c>
      <x:c r="H37" s="17" t="n">
        <x:v>300</x:v>
      </x:c>
      <x:c r="I37" s="8" t="str">
        <x:v>sale</x:v>
      </x:c>
      <x:c r="J37" s="20" t="n">
        <x:f>G37*H37</x:f>
        <x:v>300</x:v>
      </x:c>
      <x:c r="K37" s="2" t="str">
        <x:v>合成交易</x:v>
      </x:c>
    </x:row>
    <x:row r="38" ht="20.25" customHeight="1">
      <x:c r="A38" s="2" t="str">
        <x:v>S038</x:v>
      </x:c>
      <x:c r="B38" s="2" t="n">
        <x:v>39</x:v>
      </x:c>
      <x:c r="C38" s="10" t="n">
        <x:v>46275</x:v>
      </x:c>
      <x:c r="D38" s="2" t="str">
        <x:v>T038</x:v>
      </x:c>
      <x:c r="E38" s="2" t="str">
        <x:v>notebook</x:v>
      </x:c>
      <x:c r="F38" s="2" t="str">
        <x:v>TWD</x:v>
      </x:c>
      <x:c r="G38" s="16" t="n">
        <x:v>2</x:v>
      </x:c>
      <x:c r="H38" s="17" t="n">
        <x:v>80</x:v>
      </x:c>
      <x:c r="I38" s="8" t="str">
        <x:v>sale</x:v>
      </x:c>
      <x:c r="J38" s="20" t="n">
        <x:f>G38*H38</x:f>
        <x:v>160</x:v>
      </x:c>
      <x:c r="K38" s="2" t="str">
        <x:v>合成交易</x:v>
      </x:c>
    </x:row>
    <x:row r="39" ht="20.25" customHeight="1">
      <x:c r="A39" s="2" t="str">
        <x:v>S039</x:v>
      </x:c>
      <x:c r="B39" s="2" t="n">
        <x:v>40</x:v>
      </x:c>
      <x:c r="C39" s="10" t="n">
        <x:v>46276</x:v>
      </x:c>
      <x:c r="D39" s="2" t="str">
        <x:v>T039</x:v>
      </x:c>
      <x:c r="E39" s="2" t="str">
        <x:v>cup</x:v>
      </x:c>
      <x:c r="F39" s="2" t="str">
        <x:v>TWD</x:v>
      </x:c>
      <x:c r="G39" s="16" t="n">
        <x:v>3</x:v>
      </x:c>
      <x:c r="H39" s="17" t="n">
        <x:v>300</x:v>
      </x:c>
      <x:c r="I39" s="8" t="str">
        <x:v>sale</x:v>
      </x:c>
      <x:c r="J39" s="20" t="n">
        <x:f>G39*H39</x:f>
        <x:v>900</x:v>
      </x:c>
      <x:c r="K39" s="2" t="str">
        <x:v>合成交易</x:v>
      </x:c>
    </x:row>
    <x:row r="40" ht="20.25" customHeight="1">
      <x:c r="A40" s="2" t="str">
        <x:v>S040</x:v>
      </x:c>
      <x:c r="B40" s="2" t="n">
        <x:v>41</x:v>
      </x:c>
      <x:c r="C40" s="10" t="n">
        <x:v>46277</x:v>
      </x:c>
      <x:c r="D40" s="2" t="str">
        <x:v>T040</x:v>
      </x:c>
      <x:c r="E40" s="2" t="str">
        <x:v>notebook</x:v>
      </x:c>
      <x:c r="F40" s="2" t="str">
        <x:v>TWD</x:v>
      </x:c>
      <x:c r="G40" s="16" t="n">
        <x:v>1</x:v>
      </x:c>
      <x:c r="H40" s="17" t="n">
        <x:v>80</x:v>
      </x:c>
      <x:c r="I40" s="8" t="str">
        <x:v>sale</x:v>
      </x:c>
      <x:c r="J40" s="20" t="n">
        <x:f>G40*H40</x:f>
        <x:v>80</x:v>
      </x:c>
      <x:c r="K40" s="2" t="str">
        <x:v>合成交易</x:v>
      </x:c>
    </x:row>
    <x:row r="41" ht="20.25" customHeight="1">
      <x:c r="A41" s="2" t="str">
        <x:v>S044</x:v>
      </x:c>
      <x:c r="B41" s="2" t="n">
        <x:v>45</x:v>
      </x:c>
      <x:c r="C41" s="10" t="n">
        <x:v>46277</x:v>
      </x:c>
      <x:c r="D41" s="2" t="str">
        <x:v>T044</x:v>
      </x:c>
      <x:c r="E41" s="2" t="str">
        <x:v>cup</x:v>
      </x:c>
      <x:c r="F41" s="2" t="str">
        <x:v>TWD</x:v>
      </x:c>
      <x:c r="G41" s="16" t="n">
        <x:v>2</x:v>
      </x:c>
      <x:c r="H41" s="17" t="n">
        <x:v>300</x:v>
      </x:c>
      <x:c r="I41" s="8" t="str">
        <x:v>sale</x:v>
      </x:c>
      <x:c r="J41" s="20" t="n">
        <x:f>G41*H41</x:f>
        <x:v>600</x:v>
      </x:c>
      <x:c r="K41" s="2" t="str">
        <x:v>明確年/月/日，可標準化</x:v>
      </x:c>
    </x:row>
    <x:row r="42" ht="20.25" customHeight="1">
      <x:c r="A42" s="2" t="str">
        <x:v>S046</x:v>
      </x:c>
      <x:c r="B42" s="2" t="n">
        <x:v>47</x:v>
      </x:c>
      <x:c r="C42" s="10" t="n">
        <x:v>46277</x:v>
      </x:c>
      <x:c r="D42" s="2" t="str">
        <x:v>T046</x:v>
      </x:c>
      <x:c r="E42" s="2" t="str">
        <x:v>cup</x:v>
      </x:c>
      <x:c r="F42" s="2" t="str">
        <x:v>USD</x:v>
      </x:c>
      <x:c r="G42" s="16" t="n">
        <x:v>2</x:v>
      </x:c>
      <x:c r="H42" s="17" t="n">
        <x:v>25</x:v>
      </x:c>
      <x:c r="I42" s="8" t="str">
        <x:v>sale</x:v>
      </x:c>
      <x:c r="J42" s="20" t="n">
        <x:f>G42*H42</x:f>
        <x:v>50</x:v>
      </x:c>
      <x:c r="K42" s="2" t="str">
        <x:v>不同幣別分組，不自行換匯</x:v>
      </x:c>
    </x:row>
    <x:row r="43" ht="20.25" customHeight="1">
      <x:c r="A43" s="2" t="str">
        <x:v>S048</x:v>
      </x:c>
      <x:c r="B43" s="2" t="n">
        <x:v>49</x:v>
      </x:c>
      <x:c r="C43" s="10" t="n">
        <x:v>46277</x:v>
      </x:c>
      <x:c r="D43" s="2" t="str">
        <x:v>T048</x:v>
      </x:c>
      <x:c r="E43" s="2" t="str">
        <x:v>cup</x:v>
      </x:c>
      <x:c r="F43" s="2" t="str">
        <x:v>TWD</x:v>
      </x:c>
      <x:c r="G43" s="16" t="n">
        <x:v>-1</x:v>
      </x:c>
      <x:c r="H43" s="17" t="n">
        <x:v>300</x:v>
      </x:c>
      <x:c r="I43" s="8" t="str">
        <x:v>refund</x:v>
      </x:c>
      <x:c r="J43" s="20" t="n">
        <x:f>G43*H43</x:f>
        <x:v>-300</x:v>
      </x:c>
      <x:c r="K43" s="2" t="str">
        <x:v>已確認一件退款，保留負值</x:v>
      </x:c>
    </x:row>
    <x:row r="44" ht="20.25" customHeight="1">
      <x:c r="A44" s="2" t="str">
        <x:v>S049</x:v>
      </x:c>
      <x:c r="B44" s="2" t="n">
        <x:v>50</x:v>
      </x:c>
      <x:c r="C44" s="10" t="n">
        <x:v>46277</x:v>
      </x:c>
      <x:c r="D44" s="2" t="str">
        <x:v>T049</x:v>
      </x:c>
      <x:c r="E44" s="2" t="str">
        <x:v>cup</x:v>
      </x:c>
      <x:c r="F44" s="2" t="str">
        <x:v>TWD</x:v>
      </x:c>
      <x:c r="G44" s="16" t="n">
        <x:v>100</x:v>
      </x:c>
      <x:c r="H44" s="17" t="n">
        <x:v>300</x:v>
      </x:c>
      <x:c r="I44" s="8" t="str">
        <x:v>sale</x:v>
      </x:c>
      <x:c r="J44" s="20" t="n">
        <x:f>G44*H44</x:f>
        <x:v>30000</x:v>
      </x:c>
      <x:c r="K44" s="2" t="str">
        <x:v>已確認團體訂單，不能因大額刪除</x:v>
      </x:c>
    </x:row>
  </x:sheetData>
  <x:dataValidations count="1">
    <x:dataValidation type="list" sqref="F2:F44">
      <x:formula1>"TWD,USD"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e28cf63b94f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47.5" hidden="0" customWidth="1"/>
    <x:col min="4" max="4" width="28.75" hidden="0" customWidth="1"/>
  </x:cols>
  <x:sheetData>
    <x:row r="1" ht="25.5" customHeight="1">
      <x:c r="A1" s="6" t="str">
        <x:v>來源 ID</x:v>
      </x:c>
      <x:c r="B1" s="6" t="str">
        <x:v>CSV 列號</x:v>
      </x:c>
      <x:c r="C1" s="6" t="str">
        <x:v>隔離原因</x:v>
      </x:c>
      <x:c r="D1" s="6" t="str">
        <x:v>目前處理</x:v>
      </x:c>
    </x:row>
    <x:row r="2" ht="20.25" customHeight="1">
      <x:c r="A2" s="2" t="str">
        <x:v>S010</x:v>
      </x:c>
      <x:c r="B2" s="2" t="n">
        <x:v>11</x:v>
      </x:c>
      <x:c r="C2" s="2" t="str">
        <x:v>同單號內容衝突，兩列均待確認</x:v>
      </x:c>
      <x:c r="D2" s="2" t="str">
        <x:v>等待補件或確認</x:v>
      </x:c>
    </x:row>
    <x:row r="3" ht="20.25" customHeight="1">
      <x:c r="A3" s="2" t="str">
        <x:v>S041</x:v>
      </x:c>
      <x:c r="B3" s="2" t="n">
        <x:v>42</x:v>
      </x:c>
      <x:c r="C3" s="2" t="str">
        <x:v>完整重複 S005，排除副本</x:v>
      </x:c>
      <x:c r="D3" s="2" t="str">
        <x:v>保留原列 S005</x:v>
      </x:c>
    </x:row>
    <x:row r="4" ht="20.25" customHeight="1">
      <x:c r="A4" s="2" t="str">
        <x:v>S042</x:v>
      </x:c>
      <x:c r="B4" s="2" t="n">
        <x:v>43</x:v>
      </x:c>
      <x:c r="C4" s="2" t="str">
        <x:v>單價缺失，不補零</x:v>
      </x:c>
      <x:c r="D4" s="2" t="str">
        <x:v>等待補件或確認</x:v>
      </x:c>
    </x:row>
    <x:row r="5" ht="20.25" customHeight="1">
      <x:c r="A5" s="2" t="str">
        <x:v>S043</x:v>
      </x:c>
      <x:c r="B5" s="2" t="n">
        <x:v>44</x:v>
      </x:c>
      <x:c r="C5" s="2" t="str">
        <x:v>無效日期</x:v>
      </x:c>
      <x:c r="D5" s="2" t="str">
        <x:v>等待補件或確認</x:v>
      </x:c>
    </x:row>
    <x:row r="6" ht="20.25" customHeight="1">
      <x:c r="A6" s="2" t="str">
        <x:v>S045</x:v>
      </x:c>
      <x:c r="B6" s="2" t="n">
        <x:v>46</x:v>
      </x:c>
      <x:c r="C6" s="2" t="str">
        <x:v>日期順序不明</x:v>
      </x:c>
      <x:c r="D6" s="2" t="str">
        <x:v>等待補件或確認</x:v>
      </x:c>
    </x:row>
    <x:row r="7" ht="20.25" customHeight="1">
      <x:c r="A7" s="2" t="str">
        <x:v>S047</x:v>
      </x:c>
      <x:c r="B7" s="2" t="n">
        <x:v>48</x:v>
      </x:c>
      <x:c r="C7" s="2" t="str">
        <x:v>幣別缺失，不推定台幣</x:v>
      </x:c>
      <x:c r="D7" s="2" t="str">
        <x:v>等待補件或確認</x:v>
      </x:c>
    </x:row>
    <x:row r="8" ht="20.25" customHeight="1">
      <x:c r="A8" s="2" t="str">
        <x:v>S050</x:v>
      </x:c>
      <x:c r="B8" s="2" t="n">
        <x:v>51</x:v>
      </x:c>
      <x:c r="C8" s="2" t="str">
        <x:v>同單號內容衝突，兩列均待確認</x:v>
      </x:c>
      <x:c r="D8" s="2" t="str">
        <x:v>等待補件或確認</x:v>
      </x:c>
    </x:row>
    <x:row r="11">
      <x:c r="A11" s="22" t="str">
        <x:v>來源為 sales-dirty.csv；原始列未刪除。</x:v>
      </x:c>
      <x:c r="B11" s="22"/>
      <x:c r="C11" s="22"/>
      <x:c r="D11" s="22"/>
    </x:row>
  </x:sheetData>
  <x:pageMargins left="0.7" right="0.7" top="0.75" bottom="0.75" header="0.3" footer="0.3"/>
</x:worksheet>
</file>